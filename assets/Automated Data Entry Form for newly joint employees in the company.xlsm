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uan\Desktop\"/>
    </mc:Choice>
  </mc:AlternateContent>
  <xr:revisionPtr revIDLastSave="0" documentId="8_{F4D9B8EC-D5C3-43AC-A1C3-B69F3682E8A5}" xr6:coauthVersionLast="47" xr6:coauthVersionMax="47" xr10:uidLastSave="{00000000-0000-0000-0000-000000000000}"/>
  <bookViews>
    <workbookView xWindow="-110" yWindow="-110" windowWidth="19420" windowHeight="10300" xr2:uid="{48D09146-3E8C-45C4-AB65-2627A908158B}"/>
  </bookViews>
  <sheets>
    <sheet name="Form" sheetId="1" r:id="rId1"/>
    <sheet name="Database" sheetId="2" r:id="rId2"/>
  </sheets>
  <definedNames>
    <definedName name="_xlnm._FilterDatabase" localSheetId="0" hidden="1">Form!$B$19:$B$30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4" i="1" l="1"/>
  <c r="C30" i="1" s="1"/>
  <c r="C24" i="1"/>
  <c r="C27" i="1"/>
  <c r="C29" i="1"/>
  <c r="C28" i="1"/>
  <c r="C26" i="1"/>
  <c r="C25" i="1"/>
  <c r="C23" i="1"/>
  <c r="C21" i="1"/>
  <c r="C22" i="1"/>
  <c r="C20" i="1"/>
  <c r="C19" i="1"/>
</calcChain>
</file>

<file path=xl/sharedStrings.xml><?xml version="1.0" encoding="utf-8"?>
<sst xmlns="http://schemas.openxmlformats.org/spreadsheetml/2006/main" count="106" uniqueCount="64">
  <si>
    <t>Employee Data Form</t>
  </si>
  <si>
    <t>Employee Name</t>
  </si>
  <si>
    <t>Employee Code</t>
  </si>
  <si>
    <t>Email ID</t>
  </si>
  <si>
    <t>Date Of Birth</t>
  </si>
  <si>
    <t>Department</t>
  </si>
  <si>
    <t>Location</t>
  </si>
  <si>
    <t>Basic Salary</t>
  </si>
  <si>
    <t>HRA</t>
  </si>
  <si>
    <t>Medical</t>
  </si>
  <si>
    <t>Conveyance</t>
  </si>
  <si>
    <t>Deductions</t>
  </si>
  <si>
    <t>Net Pay</t>
  </si>
  <si>
    <t>ludvigskattums@meta4.com</t>
  </si>
  <si>
    <t>31/03/2000</t>
  </si>
  <si>
    <t>Technical</t>
  </si>
  <si>
    <t>Site</t>
  </si>
  <si>
    <t>Ludvig Skattums</t>
  </si>
  <si>
    <t>XXDD201</t>
  </si>
  <si>
    <t>Accounts</t>
  </si>
  <si>
    <t>Office</t>
  </si>
  <si>
    <t>Henrik Emil</t>
  </si>
  <si>
    <t>XXDD306</t>
  </si>
  <si>
    <t>henrikemil@meta4.com</t>
  </si>
  <si>
    <t>23/05/1998</t>
  </si>
  <si>
    <t>Elias Tob</t>
  </si>
  <si>
    <t>XX459</t>
  </si>
  <si>
    <t>eliastob@meta4.com</t>
  </si>
  <si>
    <t>13/08/1979</t>
  </si>
  <si>
    <t>H.R</t>
  </si>
  <si>
    <t>Erik Haugen</t>
  </si>
  <si>
    <t>erikhaugen@meta4.com</t>
  </si>
  <si>
    <t>XXDD101</t>
  </si>
  <si>
    <t>14/03/1985</t>
  </si>
  <si>
    <t>Ingrid Solberg</t>
  </si>
  <si>
    <t>XXDD102</t>
  </si>
  <si>
    <t>ingridsolberg@meta4.com</t>
  </si>
  <si>
    <t>22/07/1990</t>
  </si>
  <si>
    <t>Lars Berge</t>
  </si>
  <si>
    <t>XXDD103</t>
  </si>
  <si>
    <t>larsberge@meta4.com</t>
  </si>
  <si>
    <t>Astrid Nilsen</t>
  </si>
  <si>
    <t>XXDD104</t>
  </si>
  <si>
    <t>astridnilsen@meta4.com</t>
  </si>
  <si>
    <t>18/05/1995</t>
  </si>
  <si>
    <t>Sigurd Thorsen</t>
  </si>
  <si>
    <t>XXDD115</t>
  </si>
  <si>
    <t>sigurdthorsen@meta4.com</t>
  </si>
  <si>
    <t>Ragnhild Moe</t>
  </si>
  <si>
    <t>XXDD114</t>
  </si>
  <si>
    <t>ragnhildmoe@meta4.com</t>
  </si>
  <si>
    <t>Gunnar Olsen</t>
  </si>
  <si>
    <t>XXDD113</t>
  </si>
  <si>
    <t>gunnarolsen@meta4.com</t>
  </si>
  <si>
    <t>27/03/1983</t>
  </si>
  <si>
    <t>Admin</t>
  </si>
  <si>
    <t>Marit Larsen</t>
  </si>
  <si>
    <t>XXDD112</t>
  </si>
  <si>
    <t>maritlarsen@meta4.com</t>
  </si>
  <si>
    <t>15/10/1988</t>
  </si>
  <si>
    <t>Torbjorn Hansen</t>
  </si>
  <si>
    <t>XXDD111</t>
  </si>
  <si>
    <t>torbjornhansen@meta4.com</t>
  </si>
  <si>
    <t>20/02/1975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</si>
</sst>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1"/>
    </font>
    <font>
      <b/>
      <sz val="20"/>
      <color theme="0"/>
      <name val="Cambria"/>
      <family val="1"/>
    </font>
    <font>
      <b/>
      <sz val="11"/>
      <color rgb="FF000000"/>
      <name val="Cambria"/>
      <family val="1"/>
    </font>
    <font>
      <sz val="8"/>
      <color rgb="FF000000"/>
      <name val="Segoe UI"/>
      <family val="2"/>
    </font>
    <font>
      <b/>
      <sz val="10"/>
      <color theme="0" tint="-4.9989318521683403E-2"/>
      <name val="Cambria"/>
      <family val="1"/>
    </font>
    <font>
      <sz val="10"/>
      <color theme="1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3" fontId="0" fillId="0" borderId="0" xfId="0" applyNumberFormat="1"/>
    <xf numFmtId="14" fontId="0" fillId="0" borderId="0" xfId="0" applyNumberFormat="1"/>
    <xf numFmtId="0" fontId="0" fillId="3" borderId="3" xfId="0" applyFill="1" applyBorder="1"/>
    <xf numFmtId="0" fontId="0" fillId="0" borderId="4" xfId="0" applyBorder="1" applyAlignment="1">
      <alignment horizontal="right"/>
    </xf>
    <xf numFmtId="0" fontId="0" fillId="0" borderId="5" xfId="0" applyBorder="1"/>
    <xf numFmtId="3" fontId="0" fillId="0" borderId="5" xfId="0" applyNumberFormat="1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0" fontId="1" fillId="0" borderId="4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2" fillId="0" borderId="0" xfId="0" applyFont="1"/>
    <xf numFmtId="14" fontId="2" fillId="0" borderId="0" xfId="0" applyNumberFormat="1" applyFont="1"/>
    <xf numFmtId="0" fontId="3" fillId="3" borderId="1" xfId="0" applyFont="1" applyFill="1" applyBorder="1"/>
    <xf numFmtId="0" fontId="3" fillId="3" borderId="2" xfId="0" applyFont="1" applyFill="1" applyBorder="1"/>
    <xf numFmtId="0" fontId="0" fillId="2" borderId="9" xfId="0" applyFill="1" applyBorder="1"/>
    <xf numFmtId="0" fontId="6" fillId="3" borderId="0" xfId="0" applyFont="1" applyFill="1" applyAlignment="1">
      <alignment horizontal="center"/>
    </xf>
    <xf numFmtId="14" fontId="6" fillId="3" borderId="0" xfId="0" applyNumberFormat="1" applyFont="1" applyFill="1" applyAlignment="1">
      <alignment horizontal="center"/>
    </xf>
    <xf numFmtId="3" fontId="6" fillId="3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3" fontId="7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D$24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1193800</xdr:colOff>
          <xdr:row>13</xdr:row>
          <xdr:rowOff>6350</xdr:rowOff>
        </xdr:from>
        <xdr:to>
          <xdr:col>2</xdr:col>
          <xdr:colOff>285750</xdr:colOff>
          <xdr:row>14</xdr:row>
          <xdr:rowOff>6350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336550</xdr:colOff>
          <xdr:row>13</xdr:row>
          <xdr:rowOff>6350</xdr:rowOff>
        </xdr:from>
        <xdr:to>
          <xdr:col>2</xdr:col>
          <xdr:colOff>717550</xdr:colOff>
          <xdr:row>14</xdr:row>
          <xdr:rowOff>12700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349250</xdr:colOff>
      <xdr:row>1</xdr:row>
      <xdr:rowOff>12700</xdr:rowOff>
    </xdr:from>
    <xdr:to>
      <xdr:col>6</xdr:col>
      <xdr:colOff>577850</xdr:colOff>
      <xdr:row>2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387F67-58DA-09BE-C33B-CA8D75C3D8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71" t="9588" r="15361" b="55708"/>
        <a:stretch>
          <a:fillRect/>
        </a:stretch>
      </xdr:blipFill>
      <xdr:spPr>
        <a:xfrm>
          <a:off x="4489450" y="196850"/>
          <a:ext cx="1111250" cy="311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177800</xdr:rowOff>
        </xdr:from>
        <xdr:to>
          <xdr:col>4</xdr:col>
          <xdr:colOff>317500</xdr:colOff>
          <xdr:row>16</xdr:row>
          <xdr:rowOff>88900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A47F4-D624-41E6-AD3D-4D9663DFDB72}">
  <sheetPr codeName="Sheet1"/>
  <dimension ref="B1:G30"/>
  <sheetViews>
    <sheetView showGridLines="0" tabSelected="1" zoomScale="108" zoomScaleNormal="108" workbookViewId="0">
      <selection activeCell="N16" sqref="N16"/>
    </sheetView>
  </sheetViews>
  <sheetFormatPr defaultRowHeight="14.5" x14ac:dyDescent="0.35"/>
  <cols>
    <col min="2" max="2" width="17.6328125" customWidth="1"/>
    <col min="3" max="3" width="12.36328125" customWidth="1"/>
    <col min="5" max="5" width="11.81640625" customWidth="1"/>
    <col min="6" max="6" width="12.6328125" customWidth="1"/>
  </cols>
  <sheetData>
    <row r="1" spans="2:7" ht="15" thickBot="1" x14ac:dyDescent="0.4"/>
    <row r="2" spans="2:7" ht="25.5" thickTop="1" x14ac:dyDescent="0.5">
      <c r="B2" s="16" t="s">
        <v>0</v>
      </c>
      <c r="C2" s="17"/>
      <c r="D2" s="17"/>
      <c r="E2" s="17"/>
      <c r="F2" s="17"/>
      <c r="G2" s="3"/>
    </row>
    <row r="3" spans="2:7" x14ac:dyDescent="0.35">
      <c r="B3" s="4"/>
      <c r="G3" s="5"/>
    </row>
    <row r="4" spans="2:7" x14ac:dyDescent="0.35">
      <c r="B4" s="12" t="s">
        <v>1</v>
      </c>
      <c r="C4" s="18"/>
      <c r="E4" s="13" t="s">
        <v>7</v>
      </c>
      <c r="F4" s="18"/>
      <c r="G4" s="5"/>
    </row>
    <row r="5" spans="2:7" x14ac:dyDescent="0.35">
      <c r="B5" s="12"/>
      <c r="E5" s="13"/>
      <c r="G5" s="6"/>
    </row>
    <row r="6" spans="2:7" x14ac:dyDescent="0.35">
      <c r="B6" s="12" t="s">
        <v>2</v>
      </c>
      <c r="C6" s="18"/>
      <c r="E6" s="13" t="s">
        <v>8</v>
      </c>
      <c r="F6" s="18"/>
      <c r="G6" s="5"/>
    </row>
    <row r="7" spans="2:7" x14ac:dyDescent="0.35">
      <c r="B7" s="12"/>
      <c r="E7" s="13"/>
      <c r="G7" s="5"/>
    </row>
    <row r="8" spans="2:7" x14ac:dyDescent="0.35">
      <c r="B8" s="12" t="s">
        <v>3</v>
      </c>
      <c r="C8" s="18"/>
      <c r="E8" s="13" t="s">
        <v>9</v>
      </c>
      <c r="F8" s="18"/>
      <c r="G8" s="5"/>
    </row>
    <row r="9" spans="2:7" x14ac:dyDescent="0.35">
      <c r="B9" s="12"/>
      <c r="E9" s="13"/>
      <c r="G9" s="5"/>
    </row>
    <row r="10" spans="2:7" x14ac:dyDescent="0.35">
      <c r="B10" s="12" t="s">
        <v>4</v>
      </c>
      <c r="C10" s="18"/>
      <c r="E10" s="13" t="s">
        <v>10</v>
      </c>
      <c r="F10" s="18"/>
      <c r="G10" s="5"/>
    </row>
    <row r="11" spans="2:7" x14ac:dyDescent="0.35">
      <c r="B11" s="12"/>
      <c r="E11" s="13"/>
      <c r="G11" s="5"/>
    </row>
    <row r="12" spans="2:7" x14ac:dyDescent="0.35">
      <c r="B12" s="12" t="s">
        <v>5</v>
      </c>
      <c r="C12" s="18"/>
      <c r="E12" s="13" t="s">
        <v>11</v>
      </c>
      <c r="F12" s="18"/>
      <c r="G12" s="5"/>
    </row>
    <row r="13" spans="2:7" x14ac:dyDescent="0.35">
      <c r="B13" s="12"/>
      <c r="E13" s="13"/>
      <c r="G13" s="5"/>
    </row>
    <row r="14" spans="2:7" x14ac:dyDescent="0.35">
      <c r="B14" s="12" t="s">
        <v>6</v>
      </c>
      <c r="E14" s="13" t="s">
        <v>12</v>
      </c>
      <c r="F14" s="18">
        <f>F4+F6+F8+F10-F12</f>
        <v>0</v>
      </c>
      <c r="G14" s="5"/>
    </row>
    <row r="15" spans="2:7" x14ac:dyDescent="0.35">
      <c r="B15" s="7"/>
      <c r="G15" s="5"/>
    </row>
    <row r="16" spans="2:7" x14ac:dyDescent="0.35">
      <c r="B16" s="7"/>
      <c r="G16" s="5"/>
    </row>
    <row r="17" spans="2:7" ht="15" thickBot="1" x14ac:dyDescent="0.4">
      <c r="B17" s="8"/>
      <c r="C17" s="9"/>
      <c r="D17" s="9"/>
      <c r="E17" s="9"/>
      <c r="F17" s="9"/>
      <c r="G17" s="10"/>
    </row>
    <row r="18" spans="2:7" ht="15" thickTop="1" x14ac:dyDescent="0.35"/>
    <row r="19" spans="2:7" x14ac:dyDescent="0.35">
      <c r="B19" s="11" t="s">
        <v>1</v>
      </c>
      <c r="C19" s="14">
        <f>C4</f>
        <v>0</v>
      </c>
    </row>
    <row r="20" spans="2:7" x14ac:dyDescent="0.35">
      <c r="B20" s="11" t="s">
        <v>2</v>
      </c>
      <c r="C20" s="14">
        <f>C6</f>
        <v>0</v>
      </c>
      <c r="D20" s="14"/>
    </row>
    <row r="21" spans="2:7" x14ac:dyDescent="0.35">
      <c r="B21" s="11" t="s">
        <v>3</v>
      </c>
      <c r="C21" s="14">
        <f>C8</f>
        <v>0</v>
      </c>
      <c r="D21" s="14"/>
    </row>
    <row r="22" spans="2:7" x14ac:dyDescent="0.35">
      <c r="B22" s="11" t="s">
        <v>4</v>
      </c>
      <c r="C22" s="15">
        <f>C10</f>
        <v>0</v>
      </c>
      <c r="D22" s="14"/>
    </row>
    <row r="23" spans="2:7" x14ac:dyDescent="0.35">
      <c r="B23" s="11" t="s">
        <v>5</v>
      </c>
      <c r="C23" s="14">
        <f>C12</f>
        <v>0</v>
      </c>
      <c r="D23" s="14"/>
    </row>
    <row r="24" spans="2:7" x14ac:dyDescent="0.35">
      <c r="B24" s="11" t="s">
        <v>6</v>
      </c>
      <c r="C24" s="14" t="str">
        <f>IF(D24=1,"Site","Office")</f>
        <v>Site</v>
      </c>
      <c r="D24" s="14">
        <v>1</v>
      </c>
    </row>
    <row r="25" spans="2:7" x14ac:dyDescent="0.35">
      <c r="B25" s="11" t="s">
        <v>7</v>
      </c>
      <c r="C25" s="14">
        <f>F4</f>
        <v>0</v>
      </c>
      <c r="D25" s="14"/>
    </row>
    <row r="26" spans="2:7" x14ac:dyDescent="0.35">
      <c r="B26" s="11" t="s">
        <v>8</v>
      </c>
      <c r="C26" s="14">
        <f>F6</f>
        <v>0</v>
      </c>
      <c r="D26" s="14"/>
    </row>
    <row r="27" spans="2:7" x14ac:dyDescent="0.35">
      <c r="B27" s="11" t="s">
        <v>9</v>
      </c>
      <c r="C27" s="14">
        <f>F8</f>
        <v>0</v>
      </c>
      <c r="D27" s="14"/>
    </row>
    <row r="28" spans="2:7" x14ac:dyDescent="0.35">
      <c r="B28" s="11" t="s">
        <v>10</v>
      </c>
      <c r="C28" s="14">
        <f>F10</f>
        <v>0</v>
      </c>
      <c r="D28" s="14"/>
    </row>
    <row r="29" spans="2:7" x14ac:dyDescent="0.35">
      <c r="B29" s="11" t="s">
        <v>11</v>
      </c>
      <c r="C29" s="14">
        <f>F12</f>
        <v>0</v>
      </c>
      <c r="D29" s="14"/>
    </row>
    <row r="30" spans="2:7" x14ac:dyDescent="0.35">
      <c r="B30" s="11" t="s">
        <v>12</v>
      </c>
      <c r="C30" s="14">
        <f>F14</f>
        <v>0</v>
      </c>
    </row>
  </sheetData>
  <mergeCells count="1">
    <mergeCell ref="B2:F2"/>
  </mergeCells>
  <dataValidations count="1">
    <dataValidation type="list" allowBlank="1" showInputMessage="1" showErrorMessage="1" sqref="C12" xr:uid="{5AEC4B46-FA8B-409E-B6D3-61930294EFC7}">
      <formula1>"Technical, Admin, Accounts, H.R"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Option Button 3">
              <controlPr defaultSize="0" autoFill="0" autoLine="0" autoPict="0">
                <anchor moveWithCells="1">
                  <from>
                    <xdr:col>1</xdr:col>
                    <xdr:colOff>1193800</xdr:colOff>
                    <xdr:row>13</xdr:row>
                    <xdr:rowOff>6350</xdr:rowOff>
                  </from>
                  <to>
                    <xdr:col>2</xdr:col>
                    <xdr:colOff>285750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>
                <anchor moveWithCells="1">
                  <from>
                    <xdr:col>2</xdr:col>
                    <xdr:colOff>336550</xdr:colOff>
                    <xdr:row>13</xdr:row>
                    <xdr:rowOff>6350</xdr:rowOff>
                  </from>
                  <to>
                    <xdr:col>2</xdr:col>
                    <xdr:colOff>717550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ollectData">
                <anchor moveWithCells="1" sizeWithCells="1">
                  <from>
                    <xdr:col>3</xdr:col>
                    <xdr:colOff>0</xdr:colOff>
                    <xdr:row>14</xdr:row>
                    <xdr:rowOff>177800</xdr:rowOff>
                  </from>
                  <to>
                    <xdr:col>4</xdr:col>
                    <xdr:colOff>317500</xdr:colOff>
                    <xdr:row>16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CDABB-E22A-431F-ADB7-C115CEDC1B88}">
  <sheetPr codeName="Sheet2"/>
  <dimension ref="B2:M14"/>
  <sheetViews>
    <sheetView zoomScale="86" zoomScaleNormal="86" workbookViewId="0">
      <selection activeCell="K18" sqref="K18"/>
    </sheetView>
  </sheetViews>
  <sheetFormatPr defaultRowHeight="14.5" x14ac:dyDescent="0.35"/>
  <cols>
    <col min="2" max="3" width="13.90625" customWidth="1"/>
    <col min="4" max="4" width="23.54296875" customWidth="1"/>
    <col min="5" max="5" width="13.90625" style="2" customWidth="1"/>
    <col min="6" max="7" width="13.90625" customWidth="1"/>
    <col min="8" max="13" width="13.90625" style="1" customWidth="1"/>
  </cols>
  <sheetData>
    <row r="2" spans="2:13" x14ac:dyDescent="0.35">
      <c r="B2" s="19" t="s">
        <v>1</v>
      </c>
      <c r="C2" s="19" t="s">
        <v>2</v>
      </c>
      <c r="D2" s="19" t="s">
        <v>3</v>
      </c>
      <c r="E2" s="20" t="s">
        <v>4</v>
      </c>
      <c r="F2" s="19" t="s">
        <v>5</v>
      </c>
      <c r="G2" s="19" t="s">
        <v>6</v>
      </c>
      <c r="H2" s="21" t="s">
        <v>7</v>
      </c>
      <c r="I2" s="21" t="s">
        <v>8</v>
      </c>
      <c r="J2" s="21" t="s">
        <v>9</v>
      </c>
      <c r="K2" s="21" t="s">
        <v>10</v>
      </c>
      <c r="L2" s="21" t="s">
        <v>11</v>
      </c>
      <c r="M2" s="21" t="s">
        <v>12</v>
      </c>
    </row>
    <row r="3" spans="2:13" x14ac:dyDescent="0.35">
      <c r="B3" s="22" t="s">
        <v>60</v>
      </c>
      <c r="C3" s="22" t="s">
        <v>61</v>
      </c>
      <c r="D3" s="22" t="s">
        <v>62</v>
      </c>
      <c r="E3" s="23" t="s">
        <v>63</v>
      </c>
      <c r="F3" s="22" t="s">
        <v>15</v>
      </c>
      <c r="G3" s="22" t="s">
        <v>20</v>
      </c>
      <c r="H3" s="24">
        <v>95000</v>
      </c>
      <c r="I3" s="24">
        <v>3000</v>
      </c>
      <c r="J3" s="24">
        <v>2000</v>
      </c>
      <c r="K3" s="24">
        <v>5000</v>
      </c>
      <c r="L3" s="24">
        <v>5000</v>
      </c>
      <c r="M3" s="24">
        <v>100000</v>
      </c>
    </row>
    <row r="4" spans="2:13" x14ac:dyDescent="0.35">
      <c r="B4" s="22" t="s">
        <v>56</v>
      </c>
      <c r="C4" s="22" t="s">
        <v>57</v>
      </c>
      <c r="D4" s="22" t="s">
        <v>58</v>
      </c>
      <c r="E4" s="23" t="s">
        <v>59</v>
      </c>
      <c r="F4" s="22" t="s">
        <v>19</v>
      </c>
      <c r="G4" s="22" t="s">
        <v>20</v>
      </c>
      <c r="H4" s="24">
        <v>80000</v>
      </c>
      <c r="I4" s="24">
        <v>1000</v>
      </c>
      <c r="J4" s="24">
        <v>5000</v>
      </c>
      <c r="K4" s="24">
        <v>4000</v>
      </c>
      <c r="L4" s="24">
        <v>1000</v>
      </c>
      <c r="M4" s="24">
        <v>89000</v>
      </c>
    </row>
    <row r="5" spans="2:13" x14ac:dyDescent="0.35">
      <c r="B5" s="22" t="s">
        <v>51</v>
      </c>
      <c r="C5" s="22" t="s">
        <v>52</v>
      </c>
      <c r="D5" s="22" t="s">
        <v>53</v>
      </c>
      <c r="E5" s="23" t="s">
        <v>54</v>
      </c>
      <c r="F5" s="22" t="s">
        <v>55</v>
      </c>
      <c r="G5" s="22" t="s">
        <v>20</v>
      </c>
      <c r="H5" s="24">
        <v>65000</v>
      </c>
      <c r="I5" s="24">
        <v>1000</v>
      </c>
      <c r="J5" s="24">
        <v>3000</v>
      </c>
      <c r="K5" s="24">
        <v>2000</v>
      </c>
      <c r="L5" s="24">
        <v>1000</v>
      </c>
      <c r="M5" s="24">
        <v>70000</v>
      </c>
    </row>
    <row r="6" spans="2:13" x14ac:dyDescent="0.35">
      <c r="B6" s="22" t="s">
        <v>48</v>
      </c>
      <c r="C6" s="22" t="s">
        <v>49</v>
      </c>
      <c r="D6" s="22" t="s">
        <v>50</v>
      </c>
      <c r="E6" s="23">
        <v>35557</v>
      </c>
      <c r="F6" s="22" t="s">
        <v>15</v>
      </c>
      <c r="G6" s="22" t="s">
        <v>16</v>
      </c>
      <c r="H6" s="24">
        <v>70000</v>
      </c>
      <c r="I6" s="24">
        <v>1000</v>
      </c>
      <c r="J6" s="24">
        <v>1000</v>
      </c>
      <c r="K6" s="24">
        <v>1000</v>
      </c>
      <c r="L6" s="24">
        <v>10000</v>
      </c>
      <c r="M6" s="24">
        <v>63000</v>
      </c>
    </row>
    <row r="7" spans="2:13" x14ac:dyDescent="0.35">
      <c r="B7" s="22" t="s">
        <v>45</v>
      </c>
      <c r="C7" s="22" t="s">
        <v>46</v>
      </c>
      <c r="D7" s="22" t="s">
        <v>47</v>
      </c>
      <c r="E7" s="23">
        <v>29190</v>
      </c>
      <c r="F7" s="22" t="s">
        <v>19</v>
      </c>
      <c r="G7" s="22" t="s">
        <v>20</v>
      </c>
      <c r="H7" s="24">
        <v>65000</v>
      </c>
      <c r="I7" s="24">
        <v>5000</v>
      </c>
      <c r="J7" s="24">
        <v>2000</v>
      </c>
      <c r="K7" s="24">
        <v>1000</v>
      </c>
      <c r="L7" s="24">
        <v>1000</v>
      </c>
      <c r="M7" s="24">
        <v>72000</v>
      </c>
    </row>
    <row r="8" spans="2:13" x14ac:dyDescent="0.35">
      <c r="B8" s="22" t="s">
        <v>41</v>
      </c>
      <c r="C8" s="22" t="s">
        <v>42</v>
      </c>
      <c r="D8" s="22" t="s">
        <v>43</v>
      </c>
      <c r="E8" s="23" t="s">
        <v>44</v>
      </c>
      <c r="F8" s="22" t="s">
        <v>29</v>
      </c>
      <c r="G8" s="22" t="s">
        <v>20</v>
      </c>
      <c r="H8" s="24">
        <v>65000</v>
      </c>
      <c r="I8" s="24">
        <v>4000</v>
      </c>
      <c r="J8" s="24">
        <v>6000</v>
      </c>
      <c r="K8" s="24">
        <v>1000</v>
      </c>
      <c r="L8" s="24">
        <v>3000</v>
      </c>
      <c r="M8" s="24">
        <v>73000</v>
      </c>
    </row>
    <row r="9" spans="2:13" x14ac:dyDescent="0.35">
      <c r="B9" s="22" t="s">
        <v>38</v>
      </c>
      <c r="C9" s="22" t="s">
        <v>39</v>
      </c>
      <c r="D9" s="22" t="s">
        <v>40</v>
      </c>
      <c r="E9" s="23">
        <v>30205</v>
      </c>
      <c r="F9" s="22" t="s">
        <v>15</v>
      </c>
      <c r="G9" s="22" t="s">
        <v>16</v>
      </c>
      <c r="H9" s="24">
        <v>70000</v>
      </c>
      <c r="I9" s="24">
        <v>1000</v>
      </c>
      <c r="J9" s="24">
        <v>3000</v>
      </c>
      <c r="K9" s="24">
        <v>2000</v>
      </c>
      <c r="L9" s="24">
        <v>5000</v>
      </c>
      <c r="M9" s="24">
        <v>71000</v>
      </c>
    </row>
    <row r="10" spans="2:13" x14ac:dyDescent="0.35">
      <c r="B10" s="22" t="s">
        <v>34</v>
      </c>
      <c r="C10" s="22" t="s">
        <v>35</v>
      </c>
      <c r="D10" s="22" t="s">
        <v>36</v>
      </c>
      <c r="E10" s="23" t="s">
        <v>37</v>
      </c>
      <c r="F10" s="22" t="s">
        <v>19</v>
      </c>
      <c r="G10" s="22" t="s">
        <v>20</v>
      </c>
      <c r="H10" s="24">
        <v>50000</v>
      </c>
      <c r="I10" s="24">
        <v>5000</v>
      </c>
      <c r="J10" s="24">
        <v>4000</v>
      </c>
      <c r="K10" s="24">
        <v>2000</v>
      </c>
      <c r="L10" s="24">
        <v>1000</v>
      </c>
      <c r="M10" s="24">
        <v>60000</v>
      </c>
    </row>
    <row r="11" spans="2:13" x14ac:dyDescent="0.35">
      <c r="B11" s="22" t="s">
        <v>30</v>
      </c>
      <c r="C11" s="22" t="s">
        <v>32</v>
      </c>
      <c r="D11" s="22" t="s">
        <v>31</v>
      </c>
      <c r="E11" s="23" t="s">
        <v>33</v>
      </c>
      <c r="F11" s="22" t="s">
        <v>29</v>
      </c>
      <c r="G11" s="22" t="s">
        <v>16</v>
      </c>
      <c r="H11" s="24">
        <v>70000</v>
      </c>
      <c r="I11" s="24">
        <v>5000</v>
      </c>
      <c r="J11" s="24">
        <v>5000</v>
      </c>
      <c r="K11" s="24">
        <v>1000</v>
      </c>
      <c r="L11" s="24">
        <v>3000</v>
      </c>
      <c r="M11" s="24">
        <v>78000</v>
      </c>
    </row>
    <row r="12" spans="2:13" x14ac:dyDescent="0.35">
      <c r="B12" s="22" t="s">
        <v>25</v>
      </c>
      <c r="C12" s="22" t="s">
        <v>26</v>
      </c>
      <c r="D12" s="22" t="s">
        <v>27</v>
      </c>
      <c r="E12" s="23" t="s">
        <v>28</v>
      </c>
      <c r="F12" s="22" t="s">
        <v>29</v>
      </c>
      <c r="G12" s="22" t="s">
        <v>16</v>
      </c>
      <c r="H12" s="24">
        <v>80000</v>
      </c>
      <c r="I12" s="24">
        <v>10000</v>
      </c>
      <c r="J12" s="24">
        <v>5000</v>
      </c>
      <c r="K12" s="24">
        <v>5000</v>
      </c>
      <c r="L12" s="24">
        <v>5000</v>
      </c>
      <c r="M12" s="24">
        <v>95000</v>
      </c>
    </row>
    <row r="13" spans="2:13" x14ac:dyDescent="0.35">
      <c r="B13" s="22" t="s">
        <v>21</v>
      </c>
      <c r="C13" s="22" t="s">
        <v>22</v>
      </c>
      <c r="D13" s="22" t="s">
        <v>23</v>
      </c>
      <c r="E13" s="23" t="s">
        <v>24</v>
      </c>
      <c r="F13" s="22" t="s">
        <v>19</v>
      </c>
      <c r="G13" s="22" t="s">
        <v>20</v>
      </c>
      <c r="H13" s="24">
        <v>60000</v>
      </c>
      <c r="I13" s="24">
        <v>10000</v>
      </c>
      <c r="J13" s="24">
        <v>5000</v>
      </c>
      <c r="K13" s="24">
        <v>5000</v>
      </c>
      <c r="L13" s="24">
        <v>5000</v>
      </c>
      <c r="M13" s="24">
        <v>75000</v>
      </c>
    </row>
    <row r="14" spans="2:13" x14ac:dyDescent="0.35">
      <c r="B14" s="22" t="s">
        <v>17</v>
      </c>
      <c r="C14" s="22" t="s">
        <v>18</v>
      </c>
      <c r="D14" s="22" t="s">
        <v>13</v>
      </c>
      <c r="E14" s="23" t="s">
        <v>14</v>
      </c>
      <c r="F14" s="22" t="s">
        <v>15</v>
      </c>
      <c r="G14" s="22" t="s">
        <v>20</v>
      </c>
      <c r="H14" s="24">
        <v>70000</v>
      </c>
      <c r="I14" s="24">
        <v>10000</v>
      </c>
      <c r="J14" s="24">
        <v>10000</v>
      </c>
      <c r="K14" s="24">
        <v>3000</v>
      </c>
      <c r="L14" s="24">
        <v>3000</v>
      </c>
      <c r="M14" s="24">
        <v>90000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Øystein</dc:creator>
  <cp:lastModifiedBy>Ryan Øystein</cp:lastModifiedBy>
  <dcterms:created xsi:type="dcterms:W3CDTF">2026-05-10T20:43:36Z</dcterms:created>
  <dcterms:modified xsi:type="dcterms:W3CDTF">2026-05-11T18:11:50Z</dcterms:modified>
</cp:coreProperties>
</file>