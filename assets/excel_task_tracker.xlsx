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huan\Desktop\"/>
    </mc:Choice>
  </mc:AlternateContent>
  <xr:revisionPtr revIDLastSave="0" documentId="13_ncr:1_{FDAB2352-0E6B-4D72-A79D-B0D6951BFC2D}" xr6:coauthVersionLast="47" xr6:coauthVersionMax="47" xr10:uidLastSave="{00000000-0000-0000-0000-000000000000}"/>
  <bookViews>
    <workbookView xWindow="-110" yWindow="-110" windowWidth="19420" windowHeight="10300" activeTab="1" xr2:uid="{FBEE0547-C1DD-4B7A-A3EB-2BA1446463BC}"/>
  </bookViews>
  <sheets>
    <sheet name="Tracker" sheetId="2" r:id="rId1"/>
    <sheet name="Schedule" sheetId="15" r:id="rId2"/>
    <sheet name="Lists" sheetId="14" r:id="rId3"/>
  </sheets>
  <definedNames>
    <definedName name="Slicer_Status">#N/A</definedName>
    <definedName name="Slicer_Subject">#N/A</definedName>
    <definedName name="Slicer_Type">#N/A</definedName>
    <definedName name="SubjectList">Subjects[Subject]</definedName>
    <definedName name="WorkTypes">Types[Type]</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5" l="1" a="1"/>
  <c r="G5" i="15" s="1"/>
  <c r="B6" i="15" a="1"/>
  <c r="I9" i="2"/>
  <c r="I8" i="2"/>
  <c r="I13" i="2"/>
  <c r="I14" i="2"/>
  <c r="I17" i="2"/>
  <c r="I12" i="2"/>
  <c r="I22" i="2"/>
  <c r="I23" i="2"/>
  <c r="I24" i="2"/>
  <c r="I18" i="2"/>
  <c r="I11" i="2"/>
  <c r="I26" i="2"/>
  <c r="I15" i="2"/>
  <c r="I21" i="2"/>
  <c r="I25" i="2"/>
  <c r="I27" i="2"/>
  <c r="I20" i="2"/>
  <c r="I16" i="2"/>
  <c r="I19" i="2"/>
  <c r="I10" i="2"/>
  <c r="G4" i="15" l="1" a="1"/>
  <c r="G4" i="15" s="1"/>
  <c r="B6"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<sst xmlns="http://schemas.openxmlformats.org/spreadsheetml/2006/main" count="157" uniqueCount="94">
  <si>
    <t>Task</t>
  </si>
  <si>
    <t>Subject</t>
  </si>
  <si>
    <t>Status</t>
  </si>
  <si>
    <t>Due</t>
  </si>
  <si>
    <t>Days Available</t>
  </si>
  <si>
    <t>Type</t>
  </si>
  <si>
    <t>Notes</t>
  </si>
  <si>
    <t>Links</t>
  </si>
  <si>
    <t>Calculus</t>
  </si>
  <si>
    <t>Linear Algebra</t>
  </si>
  <si>
    <t>Multivariate Calculus</t>
  </si>
  <si>
    <t>Applied Mathematics</t>
  </si>
  <si>
    <t>Pure Mathematics</t>
  </si>
  <si>
    <t>Statistics</t>
  </si>
  <si>
    <t>Theory of Computing</t>
  </si>
  <si>
    <t>Software Engineering</t>
  </si>
  <si>
    <t>Algorithms</t>
  </si>
  <si>
    <t>Discrete Mathematics</t>
  </si>
  <si>
    <t>Information Systems</t>
  </si>
  <si>
    <t>Cyber Security</t>
  </si>
  <si>
    <t>Machine Learning</t>
  </si>
  <si>
    <t>Artificial Intelligence</t>
  </si>
  <si>
    <t>Assignment</t>
  </si>
  <si>
    <t>Course Work</t>
  </si>
  <si>
    <t>Exam</t>
  </si>
  <si>
    <t>Not Started</t>
  </si>
  <si>
    <t>Started</t>
  </si>
  <si>
    <t>Completed</t>
  </si>
  <si>
    <t>Sorting Algorithm Comparison</t>
  </si>
  <si>
    <t>Focus on merge vs quick sort</t>
  </si>
  <si>
    <t>GeeksforGeeks Sorting</t>
  </si>
  <si>
    <t>Recurrence Relations Quiz</t>
  </si>
  <si>
    <t>Review master theorem</t>
  </si>
  <si>
    <t>Khan Academy</t>
  </si>
  <si>
    <t>Linear Systems Worksheet</t>
  </si>
  <si>
    <t>Solve using Gaussian elimination</t>
  </si>
  <si>
    <t>MIT OCW Notes</t>
  </si>
  <si>
    <t>Probability Assignment 2</t>
  </si>
  <si>
    <t>Use Excel for random sampling</t>
  </si>
  <si>
    <t>StatTrek Probability</t>
  </si>
  <si>
    <t>Integration Techniques</t>
  </si>
  <si>
    <t>Practice substitution &amp; parts</t>
  </si>
  <si>
    <t>Paul’s Online Math Notes</t>
  </si>
  <si>
    <t>Logic &amp; Proofs Homework</t>
  </si>
  <si>
    <t>Focus on induction proofs</t>
  </si>
  <si>
    <t>Brilliant.org</t>
  </si>
  <si>
    <t>Regression Project</t>
  </si>
  <si>
    <t>Use least squares method</t>
  </si>
  <si>
    <t>Security Vulnerabilities Report</t>
  </si>
  <si>
    <t>Include OWASP Top 10</t>
  </si>
  <si>
    <t>OWASP</t>
  </si>
  <si>
    <t>Database Design Exam</t>
  </si>
  <si>
    <t>Review ER models &amp; SQL joins</t>
  </si>
  <si>
    <t>W3Schools SQL</t>
  </si>
  <si>
    <t>Matrix Transformations Lab</t>
  </si>
  <si>
    <t>Use Excel for visualization</t>
  </si>
  <si>
    <t>YouTube Matrix Visualizer</t>
  </si>
  <si>
    <t>Gradient Descent Simulation</t>
  </si>
  <si>
    <t>Write Python code from scratch</t>
  </si>
  <si>
    <t>Google Colab</t>
  </si>
  <si>
    <t>Neural Networks Midterm</t>
  </si>
  <si>
    <t>Review backpropagation</t>
  </si>
  <si>
    <t>DeepLearning.AI</t>
  </si>
  <si>
    <t>Multivariable Optimization</t>
  </si>
  <si>
    <t>Lagrange multipliers practice</t>
  </si>
  <si>
    <t>Khan Academy Multivariable</t>
  </si>
  <si>
    <t>Compiler Construction Notes</t>
  </si>
  <si>
    <t>Research lexical analysis</t>
  </si>
  <si>
    <t>Coursera Theory</t>
  </si>
  <si>
    <t>Statistical Inference Exam</t>
  </si>
  <si>
    <t>Focus on hypothesis testing</t>
  </si>
  <si>
    <t>OpenIntro Stats</t>
  </si>
  <si>
    <t>Software Design Principles</t>
  </si>
  <si>
    <t>Document UML diagrams</t>
  </si>
  <si>
    <t>Refactoring Guru</t>
  </si>
  <si>
    <t>Numerical Methods Report</t>
  </si>
  <si>
    <t>Compare Euler vs Runge–Kutta</t>
  </si>
  <si>
    <t>Wolfram MathWorld</t>
  </si>
  <si>
    <t>Encryption Algorithms</t>
  </si>
  <si>
    <t>Focus on RSA &amp; AES</t>
  </si>
  <si>
    <t>Crypto101.io</t>
  </si>
  <si>
    <t>Data Structures Lab</t>
  </si>
  <si>
    <t>Implement stacks &amp; queues</t>
  </si>
  <si>
    <t>Visualgo</t>
  </si>
  <si>
    <t>Project Capstone Brief</t>
  </si>
  <si>
    <t>Plan system architecture</t>
  </si>
  <si>
    <t>IEEE Guide</t>
  </si>
  <si>
    <t>Time Req'd</t>
  </si>
  <si>
    <t>Outstanding Work Due</t>
  </si>
  <si>
    <t>Analytics Vidhya</t>
  </si>
  <si>
    <t>LISTS</t>
  </si>
  <si>
    <t>TASK SCHEDULE</t>
  </si>
  <si>
    <t>TASK TRACKER</t>
  </si>
  <si>
    <t>Time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</si>
</sst>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 #,##0.00_-;_-* &quot;-&quot;??_-;_-@_-"/>
    <numFmt numFmtId="165" formatCode="_-* #,##0_-;\-* #,##0_-;_-* &quot;-&quot;??_-;_-@_-"/>
    <numFmt numFmtId="166" formatCode="0\ &quot;Hrs&quot;"/>
    <numFmt numFmtId="167" formatCode="d\ mmm"/>
    <numFmt numFmtId="168" formatCode="ddd"/>
    <numFmt numFmtId="169" formatCode="0;\-0;"/>
  </numFmts>
  <fonts count="14" x14ac:knownFonts="1">
    <font>
      <sz val="11"/>
      <color theme="1"/>
      <name val="Calibri"/>
      <family val="2"/>
      <scheme val="minor"/>
    </font>
    <font>
      <u/>
      <sz val="11"/>
      <color theme="10"/>
      <name val="Calibri"/>
      <family val="2"/>
      <scheme val="minor"/>
    </font>
    <font>
      <sz val="11"/>
      <color theme="1"/>
      <name val="Segoe UI"/>
      <family val="2"/>
    </font>
    <font>
      <sz val="28"/>
      <color theme="0"/>
      <name val="Segoe UI Light"/>
      <family val="2"/>
    </font>
    <font>
      <sz val="11"/>
      <color theme="1"/>
      <name val="Calibri"/>
      <family val="2"/>
      <scheme val="minor"/>
    </font>
    <font>
      <sz val="28"/>
      <color theme="0"/>
      <name val="Segoe UI"/>
      <family val="2"/>
    </font>
    <font>
      <sz val="11"/>
      <color theme="1"/>
      <name val="Cambria"/>
      <family val="1"/>
    </font>
    <font>
      <b/>
      <sz val="11"/>
      <color theme="1"/>
      <name val="Cambria"/>
      <family val="1"/>
    </font>
    <font>
      <b/>
      <sz val="28"/>
      <color theme="0"/>
      <name val="Cambria"/>
      <family val="1"/>
    </font>
    <font>
      <sz val="10"/>
      <color theme="1"/>
      <name val="Cambria"/>
      <family val="1"/>
    </font>
    <font>
      <b/>
      <sz val="11"/>
      <color theme="7"/>
      <name val="Cambria"/>
      <family val="1"/>
    </font>
    <font>
      <sz val="11"/>
      <color theme="7"/>
      <name val="Cambria"/>
      <family val="1"/>
    </font>
    <font>
      <sz val="11"/>
      <name val="Cambria"/>
      <family val="1"/>
    </font>
    <font>
      <u/>
      <sz val="11"/>
      <color theme="7"/>
      <name val="Cambria"/>
      <family val="1"/>
    </font>
  </fonts>
  <fills count="4">
    <fill>
      <patternFill patternType="none"/>
    </fill>
    <fill>
      <patternFill patternType="gray125"/>
    </fill>
    <fill>
      <patternFill patternType="solid">
        <fgColor theme="0" tint="-4.9989318521683403E-2"/>
        <bgColor indexed="64"/>
      </patternFill>
    </fill>
    <fill>
      <patternFill patternType="solid">
        <fgColor rgb="FF0070C0"/>
        <bgColor indexed="64"/>
      </patternFill>
    </fill>
  </fills>
  <borders count="4">
    <border>
      <left/>
      <right/>
      <top/>
      <bottom/>
      <diagonal/>
    </border>
    <border>
      <left/>
      <right/>
      <top/>
      <bottom style="thin">
        <color indexed="64"/>
      </bottom>
      <diagonal/>
    </border>
    <border>
      <left/>
      <right/>
      <top style="thin">
        <color theme="7"/>
      </top>
      <bottom/>
      <diagonal/>
    </border>
    <border>
      <left/>
      <right/>
      <top/>
      <bottom style="thin">
        <color theme="7"/>
      </bottom>
      <diagonal/>
    </border>
  </borders>
  <cellStyleXfs count="3">
    <xf numFmtId="0" fontId="0" fillId="0" borderId="0"/>
    <xf numFmtId="0" fontId="1" fillId="0" borderId="0" applyNumberFormat="0" applyFill="0" applyBorder="0" applyAlignment="0" applyProtection="0"/>
    <xf numFmtId="164" fontId="4" fillId="0" borderId="0" applyFont="0" applyFill="0" applyBorder="0" applyAlignment="0" applyProtection="0"/>
  </cellStyleXfs>
  <cellXfs count="42">
    <xf numFmtId="0" fontId="0" fillId="0" borderId="0" xfId="0"/>
    <xf numFmtId="0" fontId="2" fillId="2" borderId="0" xfId="0" applyFont="1" applyFill="1"/>
    <xf numFmtId="0" fontId="2" fillId="0" borderId="0" xfId="0" applyFont="1"/>
    <xf numFmtId="0" fontId="0" fillId="0" borderId="0" xfId="0" applyAlignment="1">
      <alignment vertical="center"/>
    </xf>
    <xf numFmtId="14" fontId="2" fillId="0" borderId="0" xfId="0" applyNumberFormat="1" applyFont="1"/>
    <xf numFmtId="168" fontId="0" fillId="0" borderId="0" xfId="0" applyNumberFormat="1"/>
    <xf numFmtId="167" fontId="0" fillId="0" borderId="0" xfId="0" applyNumberFormat="1"/>
    <xf numFmtId="0" fontId="3" fillId="3" borderId="0" xfId="0" applyFont="1" applyFill="1" applyAlignment="1">
      <alignment vertical="center"/>
    </xf>
    <xf numFmtId="0" fontId="2" fillId="3" borderId="0" xfId="0" applyFont="1" applyFill="1"/>
    <xf numFmtId="0" fontId="5" fillId="3" borderId="0" xfId="0" applyFont="1" applyFill="1" applyAlignment="1">
      <alignment vertical="center"/>
    </xf>
    <xf numFmtId="0" fontId="6" fillId="0" borderId="0" xfId="0" applyFont="1"/>
    <xf numFmtId="0" fontId="6" fillId="0" borderId="0" xfId="2" applyNumberFormat="1" applyFont="1" applyFill="1"/>
    <xf numFmtId="0" fontId="8" fillId="3" borderId="0" xfId="0" applyFont="1" applyFill="1" applyAlignment="1">
      <alignment horizontal="left" vertical="center" indent="1"/>
    </xf>
    <xf numFmtId="0" fontId="6" fillId="3" borderId="0" xfId="0" applyFont="1" applyFill="1"/>
    <xf numFmtId="0" fontId="9" fillId="0" borderId="0" xfId="0" applyFont="1"/>
    <xf numFmtId="0" fontId="9" fillId="0" borderId="0" xfId="2" applyNumberFormat="1" applyFont="1" applyFill="1"/>
    <xf numFmtId="165" fontId="9" fillId="0" borderId="0" xfId="2" applyNumberFormat="1" applyFont="1" applyFill="1"/>
    <xf numFmtId="0" fontId="10" fillId="0" borderId="2" xfId="0" applyFont="1" applyBorder="1"/>
    <xf numFmtId="0" fontId="11" fillId="0" borderId="2" xfId="0" applyFont="1" applyBorder="1"/>
    <xf numFmtId="14" fontId="11" fillId="0" borderId="2" xfId="0" applyNumberFormat="1" applyFont="1" applyBorder="1"/>
    <xf numFmtId="168" fontId="10" fillId="0" borderId="2" xfId="0" applyNumberFormat="1" applyFont="1" applyBorder="1" applyAlignment="1">
      <alignment horizontal="center"/>
    </xf>
    <xf numFmtId="168" fontId="6" fillId="0" borderId="0" xfId="0" applyNumberFormat="1" applyFont="1" applyAlignment="1">
      <alignment horizontal="center"/>
    </xf>
    <xf numFmtId="168" fontId="6" fillId="0" borderId="0" xfId="0" applyNumberFormat="1" applyFont="1"/>
    <xf numFmtId="0" fontId="10" fillId="0" borderId="3" xfId="0" applyFont="1" applyBorder="1"/>
    <xf numFmtId="14" fontId="10" fillId="0" borderId="3" xfId="0" applyNumberFormat="1" applyFont="1" applyBorder="1"/>
    <xf numFmtId="167" fontId="10" fillId="0" borderId="3" xfId="0" applyNumberFormat="1" applyFont="1" applyBorder="1"/>
    <xf numFmtId="167" fontId="6" fillId="0" borderId="1" xfId="0" applyNumberFormat="1" applyFont="1" applyBorder="1"/>
    <xf numFmtId="167" fontId="6" fillId="0" borderId="0" xfId="0" applyNumberFormat="1" applyFont="1"/>
    <xf numFmtId="0" fontId="6" fillId="0" borderId="0" xfId="0" applyFont="1" applyAlignment="1">
      <alignment vertical="center"/>
    </xf>
    <xf numFmtId="14" fontId="6" fillId="0" borderId="0" xfId="0" applyNumberFormat="1" applyFont="1" applyAlignment="1">
      <alignment vertical="center"/>
    </xf>
    <xf numFmtId="166" fontId="12" fillId="0" borderId="0" xfId="2" applyNumberFormat="1" applyFont="1" applyFill="1" applyAlignment="1">
      <alignment horizontal="center" vertical="center"/>
    </xf>
    <xf numFmtId="166" fontId="12" fillId="0" borderId="0" xfId="2" applyNumberFormat="1" applyFont="1" applyFill="1" applyAlignment="1">
      <alignment horizontal="right" vertical="center"/>
    </xf>
    <xf numFmtId="14" fontId="6" fillId="0" borderId="0" xfId="0" applyNumberFormat="1" applyFont="1"/>
    <xf numFmtId="166" fontId="12" fillId="0" borderId="0" xfId="2" applyNumberFormat="1" applyFont="1" applyFill="1" applyAlignment="1">
      <alignment horizontal="right" indent="2"/>
    </xf>
    <xf numFmtId="0" fontId="7" fillId="3" borderId="0" xfId="0" applyFont="1" applyFill="1"/>
    <xf numFmtId="0" fontId="8" fillId="3" borderId="0" xfId="0" applyFont="1" applyFill="1" applyAlignment="1">
      <alignment vertical="center"/>
    </xf>
    <xf numFmtId="0" fontId="6" fillId="2" borderId="0" xfId="0" applyFont="1" applyFill="1"/>
    <xf numFmtId="14" fontId="6" fillId="0" borderId="0" xfId="2" applyNumberFormat="1" applyFont="1" applyFill="1"/>
    <xf numFmtId="166" fontId="6" fillId="0" borderId="0" xfId="2" applyNumberFormat="1" applyFont="1" applyFill="1" applyAlignment="1">
      <alignment horizontal="right" indent="2"/>
    </xf>
    <xf numFmtId="0" fontId="6" fillId="0" borderId="0" xfId="2" applyNumberFormat="1" applyFont="1" applyFill="1" applyAlignment="1">
      <alignment horizontal="center"/>
    </xf>
    <xf numFmtId="0" fontId="13" fillId="0" borderId="0" xfId="1" applyNumberFormat="1" applyFont="1" applyFill="1"/>
    <xf numFmtId="169" fontId="6" fillId="0" borderId="0" xfId="2" applyNumberFormat="1" applyFont="1" applyFill="1" applyAlignment="1">
      <alignment horizontal="center"/>
    </xf>
  </cellXfs>
  <cellStyles count="3">
    <cellStyle name="Comma" xfId="2" builtinId="3"/>
    <cellStyle name="Hyperlink" xfId="1" builtinId="8"/>
    <cellStyle name="Normal" xfId="0" builtinId="0"/>
  </cellStyles>
  <dxfs count="25">
    <dxf>
      <font>
        <b val="0"/>
        <i val="0"/>
        <strike val="0"/>
        <condense val="0"/>
        <extend val="0"/>
        <outline val="0"/>
        <shadow val="0"/>
        <u val="none"/>
        <vertAlign val="baseline"/>
        <sz val="11"/>
        <color theme="1"/>
        <name val="Cambria"/>
        <family val="1"/>
        <scheme val="none"/>
      </font>
      <fill>
        <patternFill patternType="none">
          <fgColor indexed="64"/>
          <bgColor auto="1"/>
        </patternFill>
      </fill>
    </dxf>
    <dxf>
      <font>
        <b val="0"/>
        <i val="0"/>
        <strike val="0"/>
        <condense val="0"/>
        <extend val="0"/>
        <outline val="0"/>
        <shadow val="0"/>
        <u val="none"/>
        <vertAlign val="baseline"/>
        <sz val="11"/>
        <color theme="1"/>
        <name val="Cambria"/>
        <family val="1"/>
        <scheme val="none"/>
      </font>
      <fill>
        <patternFill patternType="none">
          <fgColor indexed="64"/>
          <bgColor auto="1"/>
        </patternFill>
      </fill>
    </dxf>
    <dxf>
      <font>
        <b val="0"/>
        <i val="0"/>
        <strike val="0"/>
        <condense val="0"/>
        <extend val="0"/>
        <outline val="0"/>
        <shadow val="0"/>
        <u/>
        <vertAlign val="baseline"/>
        <sz val="11"/>
        <color theme="7"/>
        <name val="Cambria"/>
        <family val="1"/>
        <scheme val="none"/>
      </font>
      <numFmt numFmtId="0" formatCode="General"/>
      <fill>
        <patternFill patternType="none">
          <fgColor indexed="64"/>
          <bgColor auto="1"/>
        </patternFill>
      </fill>
    </dxf>
    <dxf>
      <font>
        <b val="0"/>
        <i val="0"/>
        <strike val="0"/>
        <condense val="0"/>
        <extend val="0"/>
        <outline val="0"/>
        <shadow val="0"/>
        <u val="none"/>
        <vertAlign val="baseline"/>
        <sz val="11"/>
        <color theme="1"/>
        <name val="Cambria"/>
        <family val="1"/>
        <scheme val="none"/>
      </font>
      <numFmt numFmtId="0" formatCode="General"/>
      <fill>
        <patternFill patternType="none">
          <fgColor indexed="64"/>
          <bgColor auto="1"/>
        </patternFill>
      </fill>
    </dxf>
    <dxf>
      <font>
        <b val="0"/>
        <i val="0"/>
        <strike val="0"/>
        <condense val="0"/>
        <extend val="0"/>
        <outline val="0"/>
        <shadow val="0"/>
        <u val="none"/>
        <vertAlign val="baseline"/>
        <sz val="11"/>
        <color theme="1"/>
        <name val="Cambria"/>
        <family val="1"/>
        <scheme val="none"/>
      </font>
      <numFmt numFmtId="169"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mbria"/>
        <family val="1"/>
        <scheme val="none"/>
      </font>
      <fill>
        <patternFill patternType="none">
          <fgColor indexed="64"/>
          <bgColor auto="1"/>
        </patternFill>
      </fill>
    </dxf>
    <dxf>
      <font>
        <b val="0"/>
        <i val="0"/>
        <strike val="0"/>
        <condense val="0"/>
        <extend val="0"/>
        <outline val="0"/>
        <shadow val="0"/>
        <u val="none"/>
        <vertAlign val="baseline"/>
        <sz val="11"/>
        <color theme="1"/>
        <name val="Cambria"/>
        <family val="1"/>
        <scheme val="none"/>
      </font>
      <numFmt numFmtId="166" formatCode="0\ &quot;Hrs&quot;"/>
      <fill>
        <patternFill patternType="none">
          <fgColor indexed="64"/>
          <bgColor indexed="65"/>
        </patternFill>
      </fill>
      <alignment horizontal="right" vertical="bottom" textRotation="0" wrapText="0" relativeIndent="1" justifyLastLine="0" shrinkToFit="0" readingOrder="0"/>
    </dxf>
    <dxf>
      <font>
        <b val="0"/>
        <i val="0"/>
        <strike val="0"/>
        <condense val="0"/>
        <extend val="0"/>
        <outline val="0"/>
        <shadow val="0"/>
        <u val="none"/>
        <vertAlign val="baseline"/>
        <sz val="11"/>
        <color theme="1"/>
        <name val="Cambria"/>
        <family val="1"/>
        <scheme val="none"/>
      </font>
      <numFmt numFmtId="170" formatCode="dd/mm/yyyy"/>
      <fill>
        <patternFill patternType="none">
          <fgColor indexed="64"/>
          <bgColor indexed="65"/>
        </patternFill>
      </fill>
    </dxf>
    <dxf>
      <font>
        <b val="0"/>
        <i val="0"/>
        <strike val="0"/>
        <condense val="0"/>
        <extend val="0"/>
        <outline val="0"/>
        <shadow val="0"/>
        <u val="none"/>
        <vertAlign val="baseline"/>
        <sz val="11"/>
        <color theme="1"/>
        <name val="Cambria"/>
        <family val="1"/>
        <scheme val="none"/>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mbria"/>
        <family val="1"/>
        <scheme val="none"/>
      </font>
      <fill>
        <patternFill patternType="none">
          <fgColor indexed="64"/>
          <bgColor auto="1"/>
        </patternFill>
      </fill>
    </dxf>
    <dxf>
      <font>
        <b val="0"/>
        <i val="0"/>
        <strike val="0"/>
        <condense val="0"/>
        <extend val="0"/>
        <outline val="0"/>
        <shadow val="0"/>
        <u val="none"/>
        <vertAlign val="baseline"/>
        <sz val="11"/>
        <color theme="1"/>
        <name val="Cambria"/>
        <family val="1"/>
        <scheme val="none"/>
      </font>
      <fill>
        <patternFill patternType="none">
          <fgColor indexed="64"/>
          <bgColor auto="1"/>
        </patternFill>
      </fill>
    </dxf>
    <dxf>
      <font>
        <b val="0"/>
        <i val="0"/>
        <strike val="0"/>
        <condense val="0"/>
        <extend val="0"/>
        <outline val="0"/>
        <shadow val="0"/>
        <u val="none"/>
        <vertAlign val="baseline"/>
        <sz val="10"/>
        <color theme="1"/>
        <name val="Cambria"/>
        <family val="1"/>
        <scheme val="none"/>
      </font>
      <numFmt numFmtId="0" formatCode="General"/>
      <fill>
        <patternFill patternType="none">
          <fgColor indexed="64"/>
          <bgColor indexed="65"/>
        </patternFill>
      </fill>
    </dxf>
    <dxf>
      <font>
        <b val="0"/>
        <i val="0"/>
        <strike val="0"/>
        <condense val="0"/>
        <extend val="0"/>
        <outline val="0"/>
        <shadow val="0"/>
        <u val="none"/>
        <vertAlign val="baseline"/>
        <sz val="10"/>
        <color theme="1"/>
        <name val="Cambria"/>
        <family val="1"/>
        <scheme val="none"/>
      </font>
      <fill>
        <patternFill patternType="none">
          <fgColor indexed="64"/>
          <bgColor indexed="65"/>
        </patternFill>
      </fill>
    </dxf>
    <dxf>
      <font>
        <b val="0"/>
        <i val="0"/>
        <strike val="0"/>
        <condense val="0"/>
        <extend val="0"/>
        <outline val="0"/>
        <shadow val="0"/>
        <u val="none"/>
        <vertAlign val="baseline"/>
        <sz val="10"/>
        <color theme="1"/>
        <name val="Cambria"/>
        <family val="1"/>
        <scheme val="none"/>
      </font>
      <numFmt numFmtId="0" formatCode="General"/>
      <fill>
        <patternFill patternType="none">
          <fgColor indexed="64"/>
          <bgColor indexed="65"/>
        </patternFill>
      </fill>
    </dxf>
    <dxf>
      <font>
        <b val="0"/>
        <i val="0"/>
        <strike val="0"/>
        <condense val="0"/>
        <extend val="0"/>
        <outline val="0"/>
        <shadow val="0"/>
        <u val="none"/>
        <vertAlign val="baseline"/>
        <sz val="10"/>
        <color theme="1"/>
        <name val="Cambria"/>
        <family val="1"/>
        <scheme val="none"/>
      </font>
      <fill>
        <patternFill patternType="none">
          <fgColor rgb="FF000000"/>
          <bgColor auto="1"/>
        </patternFill>
      </fill>
    </dxf>
    <dxf>
      <font>
        <b val="0"/>
        <i val="0"/>
        <strike val="0"/>
        <condense val="0"/>
        <extend val="0"/>
        <outline val="0"/>
        <shadow val="0"/>
        <u val="none"/>
        <vertAlign val="baseline"/>
        <sz val="10"/>
        <color theme="1"/>
        <name val="Cambria"/>
        <family val="1"/>
        <scheme val="none"/>
      </font>
      <fill>
        <patternFill patternType="none">
          <fgColor indexed="64"/>
          <bgColor auto="1"/>
        </patternFill>
      </fill>
    </dxf>
    <dxf>
      <font>
        <b val="0"/>
        <i val="0"/>
        <strike val="0"/>
        <condense val="0"/>
        <extend val="0"/>
        <outline val="0"/>
        <shadow val="0"/>
        <u val="none"/>
        <vertAlign val="baseline"/>
        <sz val="10"/>
        <color theme="1"/>
        <name val="Cambria"/>
        <family val="1"/>
        <scheme val="none"/>
      </font>
      <fill>
        <patternFill patternType="none">
          <fgColor indexed="64"/>
          <bgColor auto="1"/>
        </patternFill>
      </fill>
    </dxf>
    <dxf>
      <fill>
        <patternFill>
          <bgColor theme="5" tint="0.39994506668294322"/>
        </patternFill>
      </fill>
    </dxf>
    <dxf>
      <fill>
        <patternFill>
          <bgColor theme="7" tint="0.79998168889431442"/>
        </patternFill>
      </fill>
    </dxf>
    <dxf>
      <font>
        <color rgb="FF9C0006"/>
      </font>
      <fill>
        <patternFill>
          <bgColor rgb="FFFFC7CE"/>
        </patternFill>
      </fill>
    </dxf>
    <dxf>
      <font>
        <color theme="0"/>
      </font>
      <fill>
        <patternFill>
          <bgColor theme="6"/>
        </patternFill>
      </fill>
      <border>
        <left style="thin">
          <color theme="0"/>
        </left>
        <right style="thin">
          <color theme="0"/>
        </right>
        <top style="thin">
          <color theme="0"/>
        </top>
        <bottom style="thin">
          <color theme="0"/>
        </bottom>
      </border>
    </dxf>
    <dxf>
      <font>
        <color theme="0"/>
      </font>
      <fill>
        <patternFill>
          <bgColor theme="5"/>
        </patternFill>
      </fill>
      <border>
        <left style="thin">
          <color theme="0"/>
        </left>
        <right style="thin">
          <color theme="0"/>
        </right>
        <top style="thin">
          <color theme="0"/>
        </top>
        <bottom style="thin">
          <color theme="0"/>
        </bottom>
      </border>
    </dxf>
    <dxf>
      <font>
        <strike/>
        <color theme="1" tint="0.499984740745262"/>
      </font>
    </dxf>
    <dxf>
      <font>
        <b/>
        <color theme="1"/>
      </font>
      <border>
        <bottom style="thin">
          <color theme="8"/>
        </bottom>
        <vertical/>
        <horizontal/>
      </border>
    </dxf>
    <dxf>
      <font>
        <color theme="1"/>
      </font>
      <border diagonalUp="0" diagonalDown="0">
        <left/>
        <right/>
        <top/>
        <bottom/>
        <vertical/>
        <horizontal/>
      </border>
    </dxf>
  </dxfs>
  <tableStyles count="1" defaultTableStyle="TableStyleMedium2" defaultPivotStyle="PivotStyleLight16">
    <tableStyle name="SlicerStyleLight5 No Border" pivot="0" table="0" count="10" xr9:uid="{E76DA9A0-D03F-48CB-AFAA-7C946A6FE592}">
      <tableStyleElement type="wholeTable" dxfId="24"/>
      <tableStyleElement type="headerRow" dxfId="23"/>
    </tableStyle>
  </tableStyles>
  <colors>
    <mruColors>
      <color rgb="FFF5F5F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No Bor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5" Type="http://schemas.openxmlformats.org/officeDocument/2006/relationships/customXml" Target="../customXml/item4.xml"/><Relationship Id="rId10" Type="http://schemas.openxmlformats.org/officeDocument/2006/relationships/sheetMetadata" Target="metadata.xml"/><Relationship Id="rId4" Type="http://schemas.microsoft.com/office/2007/relationships/slicerCache" Target="slicerCaches/slicerCache1.xml"/><Relationship Id="rId9" Type="http://schemas.openxmlformats.org/officeDocument/2006/relationships/sharedStrings" Target="sharedString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219075</xdr:colOff>
      <xdr:row>5</xdr:row>
      <xdr:rowOff>0</xdr:rowOff>
    </xdr:from>
    <xdr:to>
      <xdr:col>12</xdr:col>
      <xdr:colOff>10885</xdr:colOff>
      <xdr:row>28</xdr:row>
      <xdr:rowOff>0</xdr:rowOff>
    </xdr:to>
    <xdr:sp macro="" textlink="">
      <xdr:nvSpPr>
        <xdr:cNvPr id="12" name="Rectangle: Rounded Corners 11">
          <a:extLst>
            <a:ext uri="{FF2B5EF4-FFF2-40B4-BE49-F238E27FC236}">
              <a16:creationId xmlns:a16="http://schemas.microsoft.com/office/drawing/2014/main" id="{51B94167-461F-8986-8AD2-19C9974BF50B}"/>
            </a:ext>
          </a:extLst>
        </xdr:cNvPr>
        <xdr:cNvSpPr/>
      </xdr:nvSpPr>
      <xdr:spPr>
        <a:xfrm>
          <a:off x="219075" y="1472712"/>
          <a:ext cx="13134137" cy="4835769"/>
        </a:xfrm>
        <a:prstGeom prst="roundRect">
          <a:avLst>
            <a:gd name="adj" fmla="val 1320"/>
          </a:avLst>
        </a:prstGeom>
        <a:noFill/>
        <a:ln w="9525">
          <a:solidFill>
            <a:schemeClr val="bg2">
              <a:lumMod val="9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9</xdr:col>
      <xdr:colOff>1906019</xdr:colOff>
      <xdr:row>2</xdr:row>
      <xdr:rowOff>979</xdr:rowOff>
    </xdr:from>
    <xdr:to>
      <xdr:col>10</xdr:col>
      <xdr:colOff>870726</xdr:colOff>
      <xdr:row>4</xdr:row>
      <xdr:rowOff>120</xdr:rowOff>
    </xdr:to>
    <mc:AlternateContent xmlns:mc="http://schemas.openxmlformats.org/markup-compatibility/2006" xmlns:sle15="http://schemas.microsoft.com/office/drawing/2012/slicer">
      <mc:Choice Requires="sle15">
        <xdr:graphicFrame macro="">
          <xdr:nvGraphicFramePr>
            <xdr:cNvPr id="2" name="Type">
              <a:extLst>
                <a:ext uri="{FF2B5EF4-FFF2-40B4-BE49-F238E27FC236}">
                  <a16:creationId xmlns:a16="http://schemas.microsoft.com/office/drawing/2014/main" id="{CA91DBD5-2131-AEE3-9C6B-B95AA20D4AAC}"/>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0561345" y="829240"/>
              <a:ext cx="1258990" cy="1006857"/>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959739</xdr:colOff>
      <xdr:row>2</xdr:row>
      <xdr:rowOff>641</xdr:rowOff>
    </xdr:from>
    <xdr:to>
      <xdr:col>12</xdr:col>
      <xdr:colOff>0</xdr:colOff>
      <xdr:row>3</xdr:row>
      <xdr:rowOff>613009</xdr:rowOff>
    </xdr:to>
    <mc:AlternateContent xmlns:mc="http://schemas.openxmlformats.org/markup-compatibility/2006" xmlns:sle15="http://schemas.microsoft.com/office/drawing/2012/slicer">
      <mc:Choice Requires="sle15">
        <xdr:graphicFrame macro="">
          <xdr:nvGraphicFramePr>
            <xdr:cNvPr id="15" name="Status">
              <a:extLst>
                <a:ext uri="{FF2B5EF4-FFF2-40B4-BE49-F238E27FC236}">
                  <a16:creationId xmlns:a16="http://schemas.microsoft.com/office/drawing/2014/main" id="{3C35E164-D822-4507-199A-0EB5EF85C5F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909348" y="828902"/>
              <a:ext cx="1260000" cy="100800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1908385</xdr:colOff>
      <xdr:row>1</xdr:row>
      <xdr:rowOff>199411</xdr:rowOff>
    </xdr:from>
    <xdr:to>
      <xdr:col>10</xdr:col>
      <xdr:colOff>873092</xdr:colOff>
      <xdr:row>3</xdr:row>
      <xdr:rowOff>609327</xdr:rowOff>
    </xdr:to>
    <xdr:sp macro="" textlink="">
      <xdr:nvSpPr>
        <xdr:cNvPr id="16" name="Rectangle: Rounded Corners 15">
          <a:extLst>
            <a:ext uri="{FF2B5EF4-FFF2-40B4-BE49-F238E27FC236}">
              <a16:creationId xmlns:a16="http://schemas.microsoft.com/office/drawing/2014/main" id="{6836DBF4-AFBD-B32F-3725-2541DAA4A0CD}"/>
            </a:ext>
          </a:extLst>
        </xdr:cNvPr>
        <xdr:cNvSpPr/>
      </xdr:nvSpPr>
      <xdr:spPr>
        <a:xfrm>
          <a:off x="10563711" y="820607"/>
          <a:ext cx="1258990" cy="1006263"/>
        </a:xfrm>
        <a:prstGeom prst="roundRect">
          <a:avLst>
            <a:gd name="adj" fmla="val 5750"/>
          </a:avLst>
        </a:prstGeom>
        <a:noFill/>
        <a:ln w="9525">
          <a:solidFill>
            <a:schemeClr val="bg2">
              <a:lumMod val="9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100"/>
            <a:t>    </a:t>
          </a:r>
        </a:p>
      </xdr:txBody>
    </xdr:sp>
    <xdr:clientData/>
  </xdr:twoCellAnchor>
  <xdr:twoCellAnchor>
    <xdr:from>
      <xdr:col>10</xdr:col>
      <xdr:colOff>952500</xdr:colOff>
      <xdr:row>2</xdr:row>
      <xdr:rowOff>1004</xdr:rowOff>
    </xdr:from>
    <xdr:to>
      <xdr:col>12</xdr:col>
      <xdr:colOff>0</xdr:colOff>
      <xdr:row>3</xdr:row>
      <xdr:rowOff>616691</xdr:rowOff>
    </xdr:to>
    <xdr:sp macro="" textlink="">
      <xdr:nvSpPr>
        <xdr:cNvPr id="17" name="Rectangle: Rounded Corners 16">
          <a:extLst>
            <a:ext uri="{FF2B5EF4-FFF2-40B4-BE49-F238E27FC236}">
              <a16:creationId xmlns:a16="http://schemas.microsoft.com/office/drawing/2014/main" id="{B103012D-57C2-ED25-5FD7-83867331E7C4}"/>
            </a:ext>
          </a:extLst>
        </xdr:cNvPr>
        <xdr:cNvSpPr/>
      </xdr:nvSpPr>
      <xdr:spPr>
        <a:xfrm>
          <a:off x="11902109" y="829265"/>
          <a:ext cx="1267239" cy="1004969"/>
        </a:xfrm>
        <a:prstGeom prst="roundRect">
          <a:avLst>
            <a:gd name="adj" fmla="val 5750"/>
          </a:avLst>
        </a:prstGeom>
        <a:noFill/>
        <a:ln w="9525">
          <a:solidFill>
            <a:schemeClr val="bg2">
              <a:lumMod val="9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xdr:col>
      <xdr:colOff>836</xdr:colOff>
      <xdr:row>2</xdr:row>
      <xdr:rowOff>3035</xdr:rowOff>
    </xdr:from>
    <xdr:to>
      <xdr:col>9</xdr:col>
      <xdr:colOff>1801423</xdr:colOff>
      <xdr:row>4</xdr:row>
      <xdr:rowOff>557</xdr:rowOff>
    </xdr:to>
    <mc:AlternateContent xmlns:mc="http://schemas.openxmlformats.org/markup-compatibility/2006" xmlns:sle15="http://schemas.microsoft.com/office/drawing/2012/slicer">
      <mc:Choice Requires="sle15">
        <xdr:graphicFrame macro="">
          <xdr:nvGraphicFramePr>
            <xdr:cNvPr id="19" name="Subject">
              <a:extLst>
                <a:ext uri="{FF2B5EF4-FFF2-40B4-BE49-F238E27FC236}">
                  <a16:creationId xmlns:a16="http://schemas.microsoft.com/office/drawing/2014/main" id="{1F4A3E5E-DC01-FCA3-4482-ED5FF65E2F2D}"/>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mlns="">
        <xdr:sp macro="" textlink="">
          <xdr:nvSpPr>
            <xdr:cNvPr id="0" name=""/>
            <xdr:cNvSpPr>
              <a:spLocks noTextEdit="1"/>
            </xdr:cNvSpPr>
          </xdr:nvSpPr>
          <xdr:spPr>
            <a:xfrm>
              <a:off x="232749" y="831296"/>
              <a:ext cx="10224000" cy="100800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836</xdr:colOff>
      <xdr:row>2</xdr:row>
      <xdr:rowOff>3747</xdr:rowOff>
    </xdr:from>
    <xdr:to>
      <xdr:col>9</xdr:col>
      <xdr:colOff>1804214</xdr:colOff>
      <xdr:row>4</xdr:row>
      <xdr:rowOff>2067</xdr:rowOff>
    </xdr:to>
    <xdr:sp macro="" textlink="">
      <xdr:nvSpPr>
        <xdr:cNvPr id="20" name="Rectangle: Rounded Corners 19">
          <a:extLst>
            <a:ext uri="{FF2B5EF4-FFF2-40B4-BE49-F238E27FC236}">
              <a16:creationId xmlns:a16="http://schemas.microsoft.com/office/drawing/2014/main" id="{0E0415BE-8F42-1414-901B-B3496FD4D186}"/>
            </a:ext>
          </a:extLst>
        </xdr:cNvPr>
        <xdr:cNvSpPr/>
      </xdr:nvSpPr>
      <xdr:spPr>
        <a:xfrm>
          <a:off x="227055" y="831231"/>
          <a:ext cx="10227050" cy="1010352"/>
        </a:xfrm>
        <a:prstGeom prst="roundRect">
          <a:avLst>
            <a:gd name="adj" fmla="val 5750"/>
          </a:avLst>
        </a:prstGeom>
        <a:noFill/>
        <a:ln w="9525">
          <a:solidFill>
            <a:schemeClr val="bg2">
              <a:lumMod val="9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6</xdr:col>
      <xdr:colOff>0</xdr:colOff>
      <xdr:row>19</xdr:row>
      <xdr:rowOff>0</xdr:rowOff>
    </xdr:to>
    <xdr:sp macro="" textlink="">
      <xdr:nvSpPr>
        <xdr:cNvPr id="2" name="Rectangle: Rounded Corners 1">
          <a:extLst>
            <a:ext uri="{FF2B5EF4-FFF2-40B4-BE49-F238E27FC236}">
              <a16:creationId xmlns:a16="http://schemas.microsoft.com/office/drawing/2014/main" id="{F4F90ECF-788D-4E45-81BF-1D2C64F4B074}"/>
            </a:ext>
          </a:extLst>
        </xdr:cNvPr>
        <xdr:cNvSpPr/>
      </xdr:nvSpPr>
      <xdr:spPr>
        <a:xfrm>
          <a:off x="231913" y="828261"/>
          <a:ext cx="11438283" cy="4620749"/>
        </a:xfrm>
        <a:prstGeom prst="roundRect">
          <a:avLst>
            <a:gd name="adj" fmla="val 1306"/>
          </a:avLst>
        </a:prstGeom>
        <a:noFill/>
        <a:ln w="9525">
          <a:solidFill>
            <a:schemeClr val="bg2">
              <a:lumMod val="9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C160533-C8FB-483A-84A5-5C62CFC3151D}" sourceName="Type">
  <extLst>
    <x:ext xmlns:x15="http://schemas.microsoft.com/office/spreadsheetml/2010/11/main" uri="{2F2917AC-EB37-4324-AD4E-5DD8C200BD13}">
      <x15:tableSlicerCache tableId="3" column="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41AACAE-4D9E-46F9-A9FC-E0062FEC6A51}" sourceName="Status">
  <extLst>
    <x:ext xmlns:x15="http://schemas.microsoft.com/office/spreadsheetml/2010/11/main" uri="{2F2917AC-EB37-4324-AD4E-5DD8C200BD13}">
      <x15:tableSlicerCache tableId="3"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F61E2833-E256-4052-99B9-DAA83158D0A1}" sourceName="Subject">
  <extLst>
    <x:ext xmlns:x15="http://schemas.microsoft.com/office/spreadsheetml/2010/11/main" uri="{2F2917AC-EB37-4324-AD4E-5DD8C200BD13}">
      <x15:tableSlicerCache tableId="3"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F7A04407-E524-4EE2-B273-94891215F151}" cache="Slicer_Type" caption="Type" style="SlicerStyleLight5 No Border" rowHeight="180000"/>
  <slicer name="Status" xr10:uid="{D27BBE64-8CE7-4E64-91CD-5BD74AA24353}" cache="Slicer_Status" caption="Status" style="SlicerStyleLight5 No Border" rowHeight="180000"/>
  <slicer name="Subject" xr10:uid="{243097DC-1E3A-4BD5-BA11-2BD11B3E265D}" cache="Slicer_Subject" caption="Subject" columnCount="7" style="SlicerStyleLight5 No Border"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BF5C8B-5F60-4B70-91F2-06C115A890B6}" name="Tasks" displayName="Tasks" ref="C7:K27" totalsRowShown="0" headerRowDxfId="1" dataDxfId="0">
  <autoFilter ref="C7:K27" xr:uid="{17BF5C8B-5F60-4B70-91F2-06C115A890B6}">
    <filterColumn colId="1">
      <filters>
        <filter val="Linear Algebra"/>
      </filters>
    </filterColumn>
  </autoFilter>
  <tableColumns count="9">
    <tableColumn id="1" xr3:uid="{3A92F84F-8537-4841-926A-45F7BD9FFFB9}" name="Task" dataDxfId="10"/>
    <tableColumn id="2" xr3:uid="{5736900B-F196-4178-B586-7522605AB8F9}" name="Subject" dataDxfId="9"/>
    <tableColumn id="7" xr3:uid="{52CF0C4E-0B91-4CC7-A5C2-B1A1B0445A47}" name="Type" dataDxfId="8" dataCellStyle="Comma"/>
    <tableColumn id="4" xr3:uid="{A3D9104C-4729-454C-BA83-54D8D0399EEB}" name="Due" dataDxfId="7" dataCellStyle="Comma"/>
    <tableColumn id="8" xr3:uid="{373A96C6-075E-4DDD-B518-90A95C6C7EE6}" name="Time Req'd" dataDxfId="6" dataCellStyle="Comma"/>
    <tableColumn id="3" xr3:uid="{71EC916C-B2B8-4307-B822-87BE19F12B39}" name="Status" dataDxfId="5"/>
    <tableColumn id="5" xr3:uid="{F3BBBD35-921D-4AFB-AF69-26325155A5F4}" name="Days Available" dataDxfId="4">
      <calculatedColumnFormula>Tasks[[#This Row],[Due]]-TODAY()</calculatedColumnFormula>
    </tableColumn>
    <tableColumn id="9" xr3:uid="{F289CD69-02DD-4F1F-82AB-AD1A31D2256E}" name="Notes" dataDxfId="3"/>
    <tableColumn id="10" xr3:uid="{EFAB7A9F-7721-4FB6-9933-7A7AF7C53615}" name="Links" dataDxfId="2"/>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34D3EA-22E5-4974-BC6C-7EFED00CA697}" name="Subjects" displayName="Subjects" ref="C4:C18" totalsRowShown="0" headerRowDxfId="15" dataDxfId="14">
  <autoFilter ref="C4:C18" xr:uid="{17BF5C8B-5F60-4B70-91F2-06C115A890B6}"/>
  <sortState xmlns:xlrd2="http://schemas.microsoft.com/office/spreadsheetml/2017/richdata2" ref="C5:C18">
    <sortCondition ref="C4:C18"/>
  </sortState>
  <tableColumns count="1">
    <tableColumn id="1" xr3:uid="{F7D8AB2A-48C0-479A-9876-0EDBB9AD13C9}" name="Subject" dataDxfId="1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A1A229-E560-4610-9337-55A29C6CC200}" name="Types" displayName="Types" ref="E4:E7" totalsRowShown="0" headerRowDxfId="12" dataDxfId="11" dataCellStyle="Comma">
  <autoFilter ref="E4:E7" xr:uid="{04A1A229-E560-4610-9337-55A29C6CC200}"/>
  <sortState xmlns:xlrd2="http://schemas.microsoft.com/office/spreadsheetml/2017/richdata2" ref="E5:E7">
    <sortCondition ref="E4:E7"/>
  </sortState>
  <tableColumns count="1">
    <tableColumn id="1" xr3:uid="{6A9C1B74-FA94-41AF-AEC0-0D089127943B}" name="Type" dataDxfId="13" dataCellStyle="Comma"/>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owasp.org/www-project-top-ten/" TargetMode="External"/><Relationship Id="rId13" Type="http://schemas.openxmlformats.org/officeDocument/2006/relationships/hyperlink" Target="https://www.deeplearning.ai/" TargetMode="External"/><Relationship Id="rId18" Type="http://schemas.openxmlformats.org/officeDocument/2006/relationships/hyperlink" Target="https://www.youtube.com/watch?v=7Gtxd-ew4lk" TargetMode="External"/><Relationship Id="rId3" Type="http://schemas.openxmlformats.org/officeDocument/2006/relationships/hyperlink" Target="https://www.openintro.org/book/os/" TargetMode="External"/><Relationship Id="rId21" Type="http://schemas.openxmlformats.org/officeDocument/2006/relationships/printerSettings" Target="../printerSettings/printerSettings1.bin"/><Relationship Id="rId7" Type="http://schemas.openxmlformats.org/officeDocument/2006/relationships/hyperlink" Target="https://visualgo.net/en" TargetMode="External"/><Relationship Id="rId12" Type="http://schemas.openxmlformats.org/officeDocument/2006/relationships/hyperlink" Target="https://www.coursera.org/articles/lexical-analysis" TargetMode="External"/><Relationship Id="rId17" Type="http://schemas.openxmlformats.org/officeDocument/2006/relationships/hyperlink" Target="https://stattrek.com/" TargetMode="External"/><Relationship Id="rId2" Type="http://schemas.openxmlformats.org/officeDocument/2006/relationships/hyperlink" Target="https://refactoring.guru/" TargetMode="External"/><Relationship Id="rId16" Type="http://schemas.openxmlformats.org/officeDocument/2006/relationships/hyperlink" Target="https://ocw.mit.edu/pages/get-started/" TargetMode="External"/><Relationship Id="rId20" Type="http://schemas.openxmlformats.org/officeDocument/2006/relationships/hyperlink" Target="https://colab.google/" TargetMode="External"/><Relationship Id="rId1" Type="http://schemas.openxmlformats.org/officeDocument/2006/relationships/hyperlink" Target="https://mathworld.wolfram.com/" TargetMode="External"/><Relationship Id="rId6" Type="http://schemas.openxmlformats.org/officeDocument/2006/relationships/hyperlink" Target="https://www.crypto101.io/" TargetMode="External"/><Relationship Id="rId11" Type="http://schemas.openxmlformats.org/officeDocument/2006/relationships/hyperlink" Target="https://tutorial.math.lamar.edu/" TargetMode="External"/><Relationship Id="rId24" Type="http://schemas.microsoft.com/office/2007/relationships/slicer" Target="../slicers/slicer1.xml"/><Relationship Id="rId5" Type="http://schemas.openxmlformats.org/officeDocument/2006/relationships/hyperlink" Target="https://www.geeksforgeeks.org/" TargetMode="External"/><Relationship Id="rId15" Type="http://schemas.openxmlformats.org/officeDocument/2006/relationships/hyperlink" Target="https://www.khanacademy.org/" TargetMode="External"/><Relationship Id="rId23" Type="http://schemas.openxmlformats.org/officeDocument/2006/relationships/table" Target="../tables/table1.xml"/><Relationship Id="rId10" Type="http://schemas.openxmlformats.org/officeDocument/2006/relationships/hyperlink" Target="https://docs.google.com/document/d/1j1L96U2NagwWI9MEVDNVKt9pXxRzTH7h3krI3Mb6wZE/edit?tab=t.0" TargetMode="External"/><Relationship Id="rId19" Type="http://schemas.openxmlformats.org/officeDocument/2006/relationships/hyperlink" Target="https://www.analyticsvidhya.com/blog/2021/10/everything-you-need-to-know-about-linear-regression/" TargetMode="External"/><Relationship Id="rId4" Type="http://schemas.openxmlformats.org/officeDocument/2006/relationships/hyperlink" Target="https://brilliant.org/" TargetMode="External"/><Relationship Id="rId9" Type="http://schemas.openxmlformats.org/officeDocument/2006/relationships/hyperlink" Target="https://www.khanacademy.org/" TargetMode="External"/><Relationship Id="rId14" Type="http://schemas.openxmlformats.org/officeDocument/2006/relationships/hyperlink" Target="https://www.w3schools.com/sql/" TargetMode="External"/><Relationship Id="rId2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751F1-0960-4650-BC6D-021B2F78A774}">
  <dimension ref="A1:V62"/>
  <sheetViews>
    <sheetView showGridLines="0" zoomScale="81" zoomScaleNormal="81" workbookViewId="0">
      <selection activeCell="F15" sqref="F15"/>
    </sheetView>
  </sheetViews>
  <sheetFormatPr defaultColWidth="9.1796875" defaultRowHeight="16.5" x14ac:dyDescent="0.45"/>
  <cols>
    <col min="1" max="1" width="3.453125" style="1" customWidth="1"/>
    <col min="2" max="2" width="2.26953125" style="1" customWidth="1"/>
    <col min="3" max="3" width="30.7265625" style="1" bestFit="1" customWidth="1"/>
    <col min="4" max="4" width="22.453125" style="1" customWidth="1"/>
    <col min="5" max="5" width="13.26953125" style="1" bestFit="1" customWidth="1"/>
    <col min="6" max="6" width="12.26953125" style="1" bestFit="1" customWidth="1"/>
    <col min="7" max="7" width="14.81640625" style="1" bestFit="1" customWidth="1"/>
    <col min="8" max="8" width="12.1796875" style="1" bestFit="1" customWidth="1"/>
    <col min="9" max="9" width="18.26953125" style="1" bestFit="1" customWidth="1"/>
    <col min="10" max="10" width="34.453125" style="1" bestFit="1" customWidth="1"/>
    <col min="11" max="11" width="30.54296875" style="1" bestFit="1" customWidth="1"/>
    <col min="12" max="12" width="2.7265625" style="1" customWidth="1"/>
    <col min="13" max="13" width="2.81640625" style="1" customWidth="1"/>
    <col min="14" max="14" width="12.1796875" style="1" bestFit="1" customWidth="1"/>
    <col min="15" max="15" width="11.81640625" style="1" bestFit="1" customWidth="1"/>
    <col min="16" max="16" width="10" style="1" bestFit="1" customWidth="1"/>
    <col min="17" max="17" width="9.26953125" style="1" bestFit="1" customWidth="1"/>
    <col min="18" max="21" width="9.26953125" style="1" customWidth="1"/>
    <col min="22" max="22" width="17" style="1" bestFit="1" customWidth="1"/>
    <col min="23" max="24" width="15.81640625" style="1" customWidth="1"/>
    <col min="25" max="16384" width="9.1796875" style="1"/>
  </cols>
  <sheetData>
    <row r="1" spans="1:22" s="8" customFormat="1" ht="48.75" customHeight="1" x14ac:dyDescent="0.45">
      <c r="A1" s="7"/>
      <c r="B1" s="12" t="s">
        <v>92</v>
      </c>
      <c r="C1" s="34"/>
      <c r="D1" s="35"/>
      <c r="E1" s="7"/>
      <c r="F1" s="7"/>
      <c r="G1" s="7"/>
      <c r="H1" s="7"/>
      <c r="I1" s="7"/>
      <c r="J1" s="7"/>
      <c r="K1" s="7"/>
      <c r="L1" s="7"/>
      <c r="M1" s="7"/>
      <c r="N1" s="7"/>
      <c r="O1" s="7"/>
      <c r="P1" s="7"/>
      <c r="Q1" s="7"/>
      <c r="R1" s="7"/>
      <c r="S1" s="7"/>
      <c r="T1" s="7"/>
      <c r="U1" s="7"/>
      <c r="V1" s="7"/>
    </row>
    <row r="2" spans="1:22" x14ac:dyDescent="0.45">
      <c r="A2" s="36"/>
      <c r="B2" s="36"/>
      <c r="C2" s="36"/>
      <c r="D2" s="36"/>
      <c r="E2" s="36"/>
      <c r="F2" s="36"/>
      <c r="G2" s="36"/>
      <c r="H2" s="36"/>
      <c r="I2" s="36"/>
      <c r="J2" s="36"/>
      <c r="K2" s="36"/>
      <c r="L2" s="36"/>
      <c r="M2" s="36"/>
      <c r="N2" s="36"/>
      <c r="O2" s="36"/>
    </row>
    <row r="3" spans="1:22" ht="30.75" customHeight="1" x14ac:dyDescent="0.45">
      <c r="A3" s="36"/>
      <c r="B3" s="36"/>
      <c r="C3" s="36"/>
      <c r="D3" s="36"/>
      <c r="E3" s="36"/>
      <c r="F3" s="36"/>
      <c r="G3" s="36"/>
      <c r="H3" s="36"/>
      <c r="I3" s="36"/>
      <c r="J3" s="36"/>
      <c r="K3" s="36"/>
      <c r="L3" s="36"/>
      <c r="M3" s="36"/>
      <c r="N3" s="36"/>
      <c r="O3" s="36"/>
    </row>
    <row r="4" spans="1:22" ht="48.75" customHeight="1" x14ac:dyDescent="0.45">
      <c r="A4" s="36"/>
      <c r="B4" s="36"/>
      <c r="C4" s="36"/>
      <c r="D4" s="36"/>
      <c r="E4" s="36"/>
      <c r="F4" s="36"/>
      <c r="G4" s="36"/>
      <c r="H4" s="36"/>
      <c r="I4" s="36"/>
      <c r="J4" s="36"/>
      <c r="K4" s="36"/>
      <c r="L4" s="36"/>
      <c r="M4" s="36"/>
      <c r="N4" s="36"/>
      <c r="O4" s="36"/>
    </row>
    <row r="5" spans="1:22" x14ac:dyDescent="0.45">
      <c r="A5" s="36"/>
      <c r="B5" s="36"/>
      <c r="C5" s="36"/>
      <c r="D5" s="36"/>
      <c r="E5" s="36"/>
      <c r="F5" s="36"/>
      <c r="G5" s="36"/>
      <c r="H5" s="36"/>
      <c r="I5" s="36"/>
      <c r="J5" s="36"/>
      <c r="K5" s="36"/>
      <c r="L5" s="36"/>
      <c r="M5" s="36"/>
      <c r="N5" s="36"/>
      <c r="O5" s="36"/>
    </row>
    <row r="6" spans="1:22" ht="9" customHeight="1" x14ac:dyDescent="0.45">
      <c r="A6" s="36"/>
      <c r="B6" s="10"/>
      <c r="C6" s="10"/>
      <c r="D6" s="10"/>
      <c r="E6" s="10"/>
      <c r="F6" s="10"/>
      <c r="G6" s="10"/>
      <c r="H6" s="10"/>
      <c r="I6" s="10"/>
      <c r="J6" s="10"/>
      <c r="K6" s="10"/>
      <c r="L6" s="10"/>
      <c r="M6" s="36"/>
      <c r="N6" s="36"/>
      <c r="O6" s="36"/>
    </row>
    <row r="7" spans="1:22" x14ac:dyDescent="0.45">
      <c r="A7" s="36"/>
      <c r="B7" s="10"/>
      <c r="C7" s="10" t="s">
        <v>0</v>
      </c>
      <c r="D7" s="10" t="s">
        <v>1</v>
      </c>
      <c r="E7" s="10" t="s">
        <v>5</v>
      </c>
      <c r="F7" s="10" t="s">
        <v>3</v>
      </c>
      <c r="G7" s="10" t="s">
        <v>87</v>
      </c>
      <c r="H7" s="10" t="s">
        <v>2</v>
      </c>
      <c r="I7" s="10" t="s">
        <v>4</v>
      </c>
      <c r="J7" s="10" t="s">
        <v>6</v>
      </c>
      <c r="K7" s="10" t="s">
        <v>7</v>
      </c>
      <c r="L7" s="10"/>
      <c r="M7" s="36"/>
      <c r="N7" s="36"/>
      <c r="O7" s="36"/>
    </row>
    <row r="8" spans="1:22" hidden="1" x14ac:dyDescent="0.45">
      <c r="A8" s="36"/>
      <c r="B8" s="10"/>
      <c r="C8" s="10" t="s">
        <v>75</v>
      </c>
      <c r="D8" s="10" t="s">
        <v>11</v>
      </c>
      <c r="E8" s="11" t="s">
        <v>22</v>
      </c>
      <c r="F8" s="37">
        <v>46305</v>
      </c>
      <c r="G8" s="38">
        <v>5</v>
      </c>
      <c r="H8" s="10" t="s">
        <v>25</v>
      </c>
      <c r="I8" s="39">
        <f ca="1">Tasks[[#This Row],[Due]]-TODAY()</f>
        <v>149</v>
      </c>
      <c r="J8" s="11" t="s">
        <v>76</v>
      </c>
      <c r="K8" s="40" t="s">
        <v>77</v>
      </c>
      <c r="L8" s="10"/>
      <c r="M8" s="36"/>
      <c r="N8" s="36"/>
      <c r="O8" s="36"/>
    </row>
    <row r="9" spans="1:22" hidden="1" x14ac:dyDescent="0.45">
      <c r="A9" s="36"/>
      <c r="B9" s="10"/>
      <c r="C9" s="10" t="s">
        <v>72</v>
      </c>
      <c r="D9" s="10" t="s">
        <v>15</v>
      </c>
      <c r="E9" s="11" t="s">
        <v>23</v>
      </c>
      <c r="F9" s="37">
        <v>46355</v>
      </c>
      <c r="G9" s="38">
        <v>4</v>
      </c>
      <c r="H9" s="10" t="s">
        <v>26</v>
      </c>
      <c r="I9" s="41">
        <f ca="1">Tasks[[#This Row],[Due]]-TODAY()</f>
        <v>199</v>
      </c>
      <c r="J9" s="11" t="s">
        <v>73</v>
      </c>
      <c r="K9" s="40" t="s">
        <v>74</v>
      </c>
      <c r="L9" s="10"/>
      <c r="M9" s="36"/>
      <c r="N9" s="36"/>
      <c r="O9" s="36"/>
    </row>
    <row r="10" spans="1:22" hidden="1" x14ac:dyDescent="0.45">
      <c r="A10" s="36"/>
      <c r="B10" s="10"/>
      <c r="C10" s="10" t="s">
        <v>69</v>
      </c>
      <c r="D10" s="10" t="s">
        <v>13</v>
      </c>
      <c r="E10" s="11" t="s">
        <v>24</v>
      </c>
      <c r="F10" s="37">
        <v>46343</v>
      </c>
      <c r="G10" s="38">
        <v>3</v>
      </c>
      <c r="H10" s="10" t="s">
        <v>25</v>
      </c>
      <c r="I10" s="41">
        <f ca="1">Tasks[[#This Row],[Due]]-TODAY()</f>
        <v>187</v>
      </c>
      <c r="J10" s="11" t="s">
        <v>70</v>
      </c>
      <c r="K10" s="40" t="s">
        <v>71</v>
      </c>
      <c r="L10" s="10"/>
      <c r="M10" s="36"/>
      <c r="N10" s="36"/>
      <c r="O10" s="36"/>
    </row>
    <row r="11" spans="1:22" hidden="1" x14ac:dyDescent="0.45">
      <c r="A11" s="36"/>
      <c r="B11" s="10"/>
      <c r="C11" s="10" t="s">
        <v>43</v>
      </c>
      <c r="D11" s="10" t="s">
        <v>12</v>
      </c>
      <c r="E11" s="11" t="s">
        <v>22</v>
      </c>
      <c r="F11" s="37">
        <v>46310</v>
      </c>
      <c r="G11" s="38">
        <v>2</v>
      </c>
      <c r="H11" s="10" t="s">
        <v>27</v>
      </c>
      <c r="I11" s="39">
        <f ca="1">Tasks[[#This Row],[Due]]-TODAY()</f>
        <v>154</v>
      </c>
      <c r="J11" s="11" t="s">
        <v>44</v>
      </c>
      <c r="K11" s="40" t="s">
        <v>45</v>
      </c>
      <c r="L11" s="10"/>
      <c r="M11" s="36"/>
      <c r="N11" s="36"/>
      <c r="O11" s="36"/>
    </row>
    <row r="12" spans="1:22" hidden="1" x14ac:dyDescent="0.45">
      <c r="A12" s="36"/>
      <c r="B12" s="10"/>
      <c r="C12" s="10" t="s">
        <v>28</v>
      </c>
      <c r="D12" s="10" t="s">
        <v>16</v>
      </c>
      <c r="E12" s="11" t="s">
        <v>22</v>
      </c>
      <c r="F12" s="37">
        <v>46307</v>
      </c>
      <c r="G12" s="38">
        <v>5</v>
      </c>
      <c r="H12" s="10" t="s">
        <v>25</v>
      </c>
      <c r="I12" s="39">
        <f ca="1">Tasks[[#This Row],[Due]]-TODAY()</f>
        <v>151</v>
      </c>
      <c r="J12" s="11" t="s">
        <v>29</v>
      </c>
      <c r="K12" s="40" t="s">
        <v>30</v>
      </c>
      <c r="L12" s="10"/>
      <c r="M12" s="36"/>
      <c r="N12" s="36"/>
      <c r="O12" s="36"/>
    </row>
    <row r="13" spans="1:22" hidden="1" x14ac:dyDescent="0.45">
      <c r="A13" s="36"/>
      <c r="B13" s="10"/>
      <c r="C13" s="10" t="s">
        <v>78</v>
      </c>
      <c r="D13" s="10" t="s">
        <v>19</v>
      </c>
      <c r="E13" s="11" t="s">
        <v>24</v>
      </c>
      <c r="F13" s="37">
        <v>46329</v>
      </c>
      <c r="G13" s="38">
        <v>3</v>
      </c>
      <c r="H13" s="10" t="s">
        <v>25</v>
      </c>
      <c r="I13" s="41">
        <f ca="1">Tasks[[#This Row],[Due]]-TODAY()</f>
        <v>173</v>
      </c>
      <c r="J13" s="11" t="s">
        <v>79</v>
      </c>
      <c r="K13" s="40" t="s">
        <v>80</v>
      </c>
      <c r="L13" s="10"/>
      <c r="M13" s="36"/>
      <c r="N13" s="36"/>
      <c r="O13" s="36"/>
    </row>
    <row r="14" spans="1:22" hidden="1" x14ac:dyDescent="0.45">
      <c r="A14" s="36"/>
      <c r="B14" s="10"/>
      <c r="C14" s="10" t="s">
        <v>81</v>
      </c>
      <c r="D14" s="10" t="s">
        <v>16</v>
      </c>
      <c r="E14" s="11" t="s">
        <v>23</v>
      </c>
      <c r="F14" s="37">
        <v>46315</v>
      </c>
      <c r="G14" s="38">
        <v>4</v>
      </c>
      <c r="H14" s="10" t="s">
        <v>26</v>
      </c>
      <c r="I14" s="41">
        <f ca="1">Tasks[[#This Row],[Due]]-TODAY()</f>
        <v>159</v>
      </c>
      <c r="J14" s="11" t="s">
        <v>82</v>
      </c>
      <c r="K14" s="40" t="s">
        <v>83</v>
      </c>
      <c r="L14" s="10"/>
      <c r="M14" s="36"/>
      <c r="N14" s="36"/>
      <c r="O14" s="36"/>
    </row>
    <row r="15" spans="1:22" hidden="1" x14ac:dyDescent="0.45">
      <c r="A15" s="36"/>
      <c r="B15" s="10"/>
      <c r="C15" s="10" t="s">
        <v>48</v>
      </c>
      <c r="D15" s="10" t="s">
        <v>19</v>
      </c>
      <c r="E15" s="11" t="s">
        <v>22</v>
      </c>
      <c r="F15" s="37">
        <v>46317</v>
      </c>
      <c r="G15" s="38">
        <v>5</v>
      </c>
      <c r="H15" s="10" t="s">
        <v>25</v>
      </c>
      <c r="I15" s="39">
        <f ca="1">Tasks[[#This Row],[Due]]-TODAY()</f>
        <v>161</v>
      </c>
      <c r="J15" s="11" t="s">
        <v>49</v>
      </c>
      <c r="K15" s="40" t="s">
        <v>50</v>
      </c>
      <c r="L15" s="10"/>
      <c r="M15" s="36"/>
      <c r="N15" s="36"/>
      <c r="O15" s="36"/>
    </row>
    <row r="16" spans="1:22" hidden="1" x14ac:dyDescent="0.45">
      <c r="A16" s="36"/>
      <c r="B16" s="10"/>
      <c r="C16" s="10" t="s">
        <v>63</v>
      </c>
      <c r="D16" s="10" t="s">
        <v>10</v>
      </c>
      <c r="E16" s="11" t="s">
        <v>23</v>
      </c>
      <c r="F16" s="37">
        <v>46322</v>
      </c>
      <c r="G16" s="38">
        <v>4</v>
      </c>
      <c r="H16" s="10" t="s">
        <v>27</v>
      </c>
      <c r="I16" s="41">
        <f ca="1">Tasks[[#This Row],[Due]]-TODAY()</f>
        <v>166</v>
      </c>
      <c r="J16" s="11" t="s">
        <v>64</v>
      </c>
      <c r="K16" s="40" t="s">
        <v>65</v>
      </c>
      <c r="L16" s="10"/>
      <c r="M16" s="36"/>
      <c r="N16" s="36"/>
      <c r="O16" s="36"/>
    </row>
    <row r="17" spans="1:15" hidden="1" x14ac:dyDescent="0.45">
      <c r="A17" s="36"/>
      <c r="B17" s="10"/>
      <c r="C17" s="10" t="s">
        <v>84</v>
      </c>
      <c r="D17" s="10" t="s">
        <v>15</v>
      </c>
      <c r="E17" s="11" t="s">
        <v>22</v>
      </c>
      <c r="F17" s="37">
        <v>46332</v>
      </c>
      <c r="G17" s="38">
        <v>8</v>
      </c>
      <c r="H17" s="10" t="s">
        <v>25</v>
      </c>
      <c r="I17" s="39">
        <f ca="1">Tasks[[#This Row],[Due]]-TODAY()</f>
        <v>176</v>
      </c>
      <c r="J17" s="11" t="s">
        <v>85</v>
      </c>
      <c r="K17" s="40" t="s">
        <v>86</v>
      </c>
      <c r="L17" s="10"/>
      <c r="M17" s="36"/>
      <c r="N17" s="36"/>
      <c r="O17" s="36"/>
    </row>
    <row r="18" spans="1:15" hidden="1" x14ac:dyDescent="0.45">
      <c r="A18" s="36"/>
      <c r="B18" s="10"/>
      <c r="C18" s="10" t="s">
        <v>40</v>
      </c>
      <c r="D18" s="10" t="s">
        <v>8</v>
      </c>
      <c r="E18" s="11" t="s">
        <v>23</v>
      </c>
      <c r="F18" s="37">
        <v>46323</v>
      </c>
      <c r="G18" s="38">
        <v>3</v>
      </c>
      <c r="H18" s="10" t="s">
        <v>25</v>
      </c>
      <c r="I18" s="41">
        <f ca="1">Tasks[[#This Row],[Due]]-TODAY()</f>
        <v>167</v>
      </c>
      <c r="J18" s="11" t="s">
        <v>41</v>
      </c>
      <c r="K18" s="40" t="s">
        <v>42</v>
      </c>
      <c r="L18" s="10"/>
      <c r="M18" s="36"/>
      <c r="N18" s="36"/>
      <c r="O18" s="36"/>
    </row>
    <row r="19" spans="1:15" hidden="1" x14ac:dyDescent="0.45">
      <c r="A19" s="36"/>
      <c r="B19" s="10"/>
      <c r="C19" s="10" t="s">
        <v>66</v>
      </c>
      <c r="D19" s="10" t="s">
        <v>14</v>
      </c>
      <c r="E19" s="11" t="s">
        <v>22</v>
      </c>
      <c r="F19" s="37">
        <v>46324</v>
      </c>
      <c r="G19" s="38">
        <v>5</v>
      </c>
      <c r="H19" s="10" t="s">
        <v>26</v>
      </c>
      <c r="I19" s="39">
        <f ca="1">Tasks[[#This Row],[Due]]-TODAY()</f>
        <v>168</v>
      </c>
      <c r="J19" s="11" t="s">
        <v>67</v>
      </c>
      <c r="K19" s="40" t="s">
        <v>68</v>
      </c>
      <c r="L19" s="10"/>
      <c r="M19" s="36"/>
      <c r="N19" s="36"/>
      <c r="O19" s="36"/>
    </row>
    <row r="20" spans="1:15" hidden="1" x14ac:dyDescent="0.45">
      <c r="A20" s="36"/>
      <c r="B20" s="10"/>
      <c r="C20" s="10" t="s">
        <v>60</v>
      </c>
      <c r="D20" s="10" t="s">
        <v>21</v>
      </c>
      <c r="E20" s="11" t="s">
        <v>24</v>
      </c>
      <c r="F20" s="37">
        <v>46339</v>
      </c>
      <c r="G20" s="38">
        <v>3</v>
      </c>
      <c r="H20" s="10" t="s">
        <v>25</v>
      </c>
      <c r="I20" s="41">
        <f ca="1">Tasks[[#This Row],[Due]]-TODAY()</f>
        <v>183</v>
      </c>
      <c r="J20" s="11" t="s">
        <v>61</v>
      </c>
      <c r="K20" s="40" t="s">
        <v>62</v>
      </c>
      <c r="L20" s="10"/>
      <c r="M20" s="36"/>
      <c r="N20" s="36"/>
      <c r="O20" s="36"/>
    </row>
    <row r="21" spans="1:15" hidden="1" x14ac:dyDescent="0.45">
      <c r="A21" s="36"/>
      <c r="B21" s="10"/>
      <c r="C21" s="10" t="s">
        <v>51</v>
      </c>
      <c r="D21" s="10" t="s">
        <v>18</v>
      </c>
      <c r="E21" s="11" t="s">
        <v>24</v>
      </c>
      <c r="F21" s="37">
        <v>46330</v>
      </c>
      <c r="G21" s="38">
        <v>3</v>
      </c>
      <c r="H21" s="10" t="s">
        <v>25</v>
      </c>
      <c r="I21" s="41">
        <f ca="1">Tasks[[#This Row],[Due]]-TODAY()</f>
        <v>174</v>
      </c>
      <c r="J21" s="11" t="s">
        <v>52</v>
      </c>
      <c r="K21" s="40" t="s">
        <v>53</v>
      </c>
      <c r="L21" s="10"/>
      <c r="M21" s="36"/>
      <c r="N21" s="36"/>
      <c r="O21" s="36"/>
    </row>
    <row r="22" spans="1:15" hidden="1" x14ac:dyDescent="0.45">
      <c r="A22" s="36"/>
      <c r="B22" s="10"/>
      <c r="C22" s="10" t="s">
        <v>31</v>
      </c>
      <c r="D22" s="10" t="s">
        <v>17</v>
      </c>
      <c r="E22" s="11" t="s">
        <v>24</v>
      </c>
      <c r="F22" s="37">
        <v>46318</v>
      </c>
      <c r="G22" s="38">
        <v>2</v>
      </c>
      <c r="H22" s="10" t="s">
        <v>26</v>
      </c>
      <c r="I22" s="41">
        <f ca="1">Tasks[[#This Row],[Due]]-TODAY()</f>
        <v>162</v>
      </c>
      <c r="J22" s="11" t="s">
        <v>32</v>
      </c>
      <c r="K22" s="40" t="s">
        <v>33</v>
      </c>
      <c r="L22" s="10"/>
      <c r="M22" s="36"/>
      <c r="N22" s="36"/>
      <c r="O22" s="36"/>
    </row>
    <row r="23" spans="1:15" x14ac:dyDescent="0.45">
      <c r="A23" s="36"/>
      <c r="B23" s="10"/>
      <c r="C23" s="10" t="s">
        <v>34</v>
      </c>
      <c r="D23" s="10" t="s">
        <v>9</v>
      </c>
      <c r="E23" s="11" t="s">
        <v>23</v>
      </c>
      <c r="F23" s="37">
        <v>46309</v>
      </c>
      <c r="G23" s="38">
        <v>3</v>
      </c>
      <c r="H23" s="10" t="s">
        <v>27</v>
      </c>
      <c r="I23" s="41">
        <f ca="1">Tasks[[#This Row],[Due]]-TODAY()</f>
        <v>153</v>
      </c>
      <c r="J23" s="11" t="s">
        <v>35</v>
      </c>
      <c r="K23" s="40" t="s">
        <v>36</v>
      </c>
      <c r="L23" s="10"/>
      <c r="M23" s="36"/>
      <c r="N23" s="36"/>
      <c r="O23" s="36"/>
    </row>
    <row r="24" spans="1:15" hidden="1" x14ac:dyDescent="0.45">
      <c r="A24" s="36"/>
      <c r="B24" s="10"/>
      <c r="C24" s="10" t="s">
        <v>37</v>
      </c>
      <c r="D24" s="10" t="s">
        <v>13</v>
      </c>
      <c r="E24" s="11" t="s">
        <v>22</v>
      </c>
      <c r="F24" s="37">
        <v>46316</v>
      </c>
      <c r="G24" s="38">
        <v>4</v>
      </c>
      <c r="H24" s="10" t="s">
        <v>26</v>
      </c>
      <c r="I24" s="39">
        <f ca="1">Tasks[[#This Row],[Due]]-TODAY()</f>
        <v>160</v>
      </c>
      <c r="J24" s="11" t="s">
        <v>38</v>
      </c>
      <c r="K24" s="40" t="s">
        <v>39</v>
      </c>
      <c r="L24" s="10"/>
      <c r="M24" s="36"/>
      <c r="N24" s="36"/>
      <c r="O24" s="36"/>
    </row>
    <row r="25" spans="1:15" x14ac:dyDescent="0.45">
      <c r="A25" s="36"/>
      <c r="B25" s="10"/>
      <c r="C25" s="10" t="s">
        <v>54</v>
      </c>
      <c r="D25" s="10" t="s">
        <v>9</v>
      </c>
      <c r="E25" s="11" t="s">
        <v>23</v>
      </c>
      <c r="F25" s="37">
        <v>46325</v>
      </c>
      <c r="G25" s="38">
        <v>4</v>
      </c>
      <c r="H25" s="10" t="s">
        <v>26</v>
      </c>
      <c r="I25" s="41">
        <f ca="1">Tasks[[#This Row],[Due]]-TODAY()</f>
        <v>169</v>
      </c>
      <c r="J25" s="11" t="s">
        <v>55</v>
      </c>
      <c r="K25" s="40" t="s">
        <v>56</v>
      </c>
      <c r="L25" s="10"/>
      <c r="M25" s="36"/>
      <c r="N25" s="36"/>
      <c r="O25" s="36"/>
    </row>
    <row r="26" spans="1:15" hidden="1" x14ac:dyDescent="0.45">
      <c r="A26" s="36"/>
      <c r="B26" s="10"/>
      <c r="C26" s="10" t="s">
        <v>46</v>
      </c>
      <c r="D26" s="10" t="s">
        <v>11</v>
      </c>
      <c r="E26" s="11" t="s">
        <v>22</v>
      </c>
      <c r="F26" s="37">
        <v>46311</v>
      </c>
      <c r="G26" s="38">
        <v>6</v>
      </c>
      <c r="H26" s="10" t="s">
        <v>26</v>
      </c>
      <c r="I26" s="39">
        <f ca="1">Tasks[[#This Row],[Due]]-TODAY()</f>
        <v>155</v>
      </c>
      <c r="J26" s="11" t="s">
        <v>47</v>
      </c>
      <c r="K26" s="40" t="s">
        <v>89</v>
      </c>
      <c r="L26" s="10"/>
      <c r="M26" s="36"/>
      <c r="N26" s="36"/>
      <c r="O26" s="36"/>
    </row>
    <row r="27" spans="1:15" hidden="1" x14ac:dyDescent="0.45">
      <c r="A27" s="36"/>
      <c r="B27" s="10"/>
      <c r="C27" s="10" t="s">
        <v>57</v>
      </c>
      <c r="D27" s="10" t="s">
        <v>20</v>
      </c>
      <c r="E27" s="11" t="s">
        <v>22</v>
      </c>
      <c r="F27" s="37">
        <v>46312</v>
      </c>
      <c r="G27" s="38">
        <v>6</v>
      </c>
      <c r="H27" s="10" t="s">
        <v>25</v>
      </c>
      <c r="I27" s="39">
        <f ca="1">Tasks[[#This Row],[Due]]-TODAY()</f>
        <v>156</v>
      </c>
      <c r="J27" s="11" t="s">
        <v>58</v>
      </c>
      <c r="K27" s="40" t="s">
        <v>59</v>
      </c>
      <c r="L27" s="10"/>
      <c r="M27" s="36"/>
      <c r="N27" s="36"/>
      <c r="O27" s="36"/>
    </row>
    <row r="28" spans="1:15" ht="12.75" customHeight="1" x14ac:dyDescent="0.45">
      <c r="A28" s="36"/>
      <c r="B28" s="10"/>
      <c r="C28" s="10"/>
      <c r="D28" s="10"/>
      <c r="E28" s="10"/>
      <c r="F28" s="10"/>
      <c r="G28" s="10"/>
      <c r="H28" s="10"/>
      <c r="I28" s="10"/>
      <c r="J28" s="10"/>
      <c r="K28" s="10"/>
      <c r="L28" s="10"/>
      <c r="M28" s="36"/>
      <c r="N28" s="36"/>
      <c r="O28" s="36"/>
    </row>
    <row r="29" spans="1:15" x14ac:dyDescent="0.45">
      <c r="A29" s="36"/>
      <c r="B29" s="36"/>
      <c r="C29" s="36"/>
      <c r="D29" s="36"/>
      <c r="E29" s="36"/>
      <c r="F29" s="36"/>
      <c r="G29" s="36"/>
      <c r="H29" s="36"/>
      <c r="I29" s="36"/>
      <c r="J29" s="36"/>
      <c r="K29" s="36"/>
      <c r="L29" s="36"/>
      <c r="M29" s="36"/>
      <c r="N29" s="36"/>
      <c r="O29" s="36"/>
    </row>
    <row r="30" spans="1:15" x14ac:dyDescent="0.45">
      <c r="A30" s="36"/>
      <c r="B30" s="36"/>
      <c r="C30" s="36"/>
      <c r="D30" s="36"/>
      <c r="E30" s="36"/>
      <c r="F30" s="36"/>
      <c r="G30" s="36"/>
      <c r="H30" s="36"/>
      <c r="I30" s="36"/>
      <c r="J30" s="36"/>
      <c r="K30" s="36"/>
      <c r="L30" s="36"/>
      <c r="M30" s="36"/>
      <c r="N30" s="36"/>
      <c r="O30" s="36"/>
    </row>
    <row r="31" spans="1:15" x14ac:dyDescent="0.45">
      <c r="A31" s="36"/>
      <c r="B31" s="36"/>
      <c r="C31" s="36"/>
      <c r="D31" s="36"/>
      <c r="E31" s="36"/>
      <c r="F31" s="36"/>
      <c r="G31" s="36"/>
      <c r="H31" s="36"/>
      <c r="I31" s="36"/>
      <c r="J31" s="36"/>
      <c r="K31" s="36"/>
      <c r="L31" s="36"/>
      <c r="M31" s="36"/>
      <c r="N31" s="36"/>
      <c r="O31" s="36"/>
    </row>
    <row r="32" spans="1:15" x14ac:dyDescent="0.45">
      <c r="A32" s="36"/>
      <c r="B32" s="36"/>
      <c r="C32" s="36"/>
      <c r="D32" s="36"/>
      <c r="E32" s="36"/>
      <c r="F32" s="36"/>
      <c r="G32" s="36"/>
      <c r="H32" s="36"/>
      <c r="I32" s="36"/>
      <c r="J32" s="36"/>
      <c r="K32" s="36"/>
      <c r="L32" s="36"/>
      <c r="M32" s="36"/>
      <c r="N32" s="36"/>
      <c r="O32" s="36"/>
    </row>
    <row r="33" spans="1:15" x14ac:dyDescent="0.45">
      <c r="A33" s="36"/>
      <c r="B33" s="36"/>
      <c r="C33" s="36"/>
      <c r="D33" s="36"/>
      <c r="E33" s="36"/>
      <c r="F33" s="36"/>
      <c r="G33" s="36"/>
      <c r="H33" s="36"/>
      <c r="I33" s="36"/>
      <c r="J33" s="36"/>
      <c r="K33" s="36"/>
      <c r="L33" s="36"/>
      <c r="M33" s="36"/>
      <c r="N33" s="36"/>
      <c r="O33" s="36"/>
    </row>
    <row r="34" spans="1:15" x14ac:dyDescent="0.45">
      <c r="A34" s="36"/>
      <c r="B34" s="36"/>
      <c r="C34" s="36"/>
      <c r="D34" s="36"/>
      <c r="E34" s="36"/>
      <c r="F34" s="36"/>
      <c r="G34" s="36"/>
      <c r="H34" s="36"/>
      <c r="I34" s="36"/>
      <c r="J34" s="36"/>
      <c r="K34" s="36"/>
      <c r="L34" s="36"/>
      <c r="M34" s="36"/>
      <c r="N34" s="36"/>
      <c r="O34" s="36"/>
    </row>
    <row r="35" spans="1:15" x14ac:dyDescent="0.45">
      <c r="A35" s="36"/>
      <c r="B35" s="36"/>
      <c r="C35" s="36"/>
      <c r="D35" s="36"/>
      <c r="E35" s="36"/>
      <c r="F35" s="36"/>
      <c r="G35" s="36"/>
      <c r="H35" s="36"/>
      <c r="I35" s="36"/>
      <c r="J35" s="36"/>
      <c r="K35" s="36"/>
      <c r="L35" s="36"/>
      <c r="M35" s="36"/>
      <c r="N35" s="36"/>
      <c r="O35" s="36"/>
    </row>
    <row r="36" spans="1:15" x14ac:dyDescent="0.45">
      <c r="A36" s="36"/>
      <c r="B36" s="36"/>
      <c r="C36" s="36"/>
      <c r="D36" s="36"/>
      <c r="E36" s="36"/>
      <c r="F36" s="36"/>
      <c r="G36" s="36"/>
      <c r="H36" s="36"/>
      <c r="I36" s="36"/>
      <c r="J36" s="36"/>
      <c r="K36" s="36"/>
      <c r="L36" s="36"/>
      <c r="M36" s="36"/>
      <c r="N36" s="36"/>
      <c r="O36" s="36"/>
    </row>
    <row r="37" spans="1:15" x14ac:dyDescent="0.45">
      <c r="A37" s="36"/>
      <c r="B37" s="36"/>
      <c r="C37" s="36"/>
      <c r="D37" s="36"/>
      <c r="E37" s="36"/>
      <c r="F37" s="36"/>
      <c r="G37" s="36"/>
      <c r="H37" s="36"/>
      <c r="I37" s="36"/>
      <c r="J37" s="36"/>
      <c r="K37" s="36"/>
      <c r="L37" s="36"/>
      <c r="M37" s="36"/>
      <c r="N37" s="36"/>
      <c r="O37" s="36"/>
    </row>
    <row r="38" spans="1:15" x14ac:dyDescent="0.45">
      <c r="A38" s="36"/>
      <c r="B38" s="36"/>
      <c r="C38" s="36"/>
      <c r="D38" s="36"/>
      <c r="E38" s="36"/>
      <c r="F38" s="36"/>
      <c r="G38" s="36"/>
      <c r="H38" s="36"/>
      <c r="I38" s="36"/>
      <c r="J38" s="36"/>
      <c r="K38" s="36"/>
      <c r="L38" s="36"/>
      <c r="M38" s="36"/>
      <c r="N38" s="36"/>
      <c r="O38" s="36"/>
    </row>
    <row r="39" spans="1:15" x14ac:dyDescent="0.45">
      <c r="A39" s="36"/>
      <c r="B39" s="36"/>
      <c r="C39" s="36"/>
      <c r="D39" s="36"/>
      <c r="E39" s="36"/>
      <c r="F39" s="36"/>
      <c r="G39" s="36"/>
      <c r="H39" s="36"/>
      <c r="I39" s="36"/>
      <c r="J39" s="36"/>
      <c r="K39" s="36"/>
      <c r="L39" s="36"/>
      <c r="M39" s="36"/>
      <c r="N39" s="36"/>
      <c r="O39" s="36"/>
    </row>
    <row r="40" spans="1:15" x14ac:dyDescent="0.45">
      <c r="A40" s="36"/>
      <c r="B40" s="36"/>
      <c r="C40" s="36"/>
      <c r="D40" s="36"/>
      <c r="E40" s="36"/>
      <c r="F40" s="36"/>
      <c r="G40" s="36"/>
      <c r="H40" s="36"/>
      <c r="I40" s="36"/>
      <c r="J40" s="36"/>
      <c r="K40" s="36"/>
      <c r="L40" s="36"/>
      <c r="M40" s="36"/>
      <c r="N40" s="36"/>
      <c r="O40" s="36"/>
    </row>
    <row r="41" spans="1:15" x14ac:dyDescent="0.45">
      <c r="A41" s="36"/>
      <c r="B41" s="36"/>
      <c r="C41" s="36"/>
      <c r="D41" s="36"/>
      <c r="E41" s="36"/>
      <c r="F41" s="36"/>
      <c r="G41" s="36"/>
      <c r="H41" s="36"/>
      <c r="I41" s="36"/>
      <c r="J41" s="36"/>
      <c r="K41" s="36"/>
      <c r="L41" s="36"/>
      <c r="M41" s="36"/>
      <c r="N41" s="36"/>
      <c r="O41" s="36"/>
    </row>
    <row r="42" spans="1:15" x14ac:dyDescent="0.45">
      <c r="A42" s="36"/>
      <c r="B42" s="36"/>
      <c r="C42" s="36"/>
      <c r="D42" s="36"/>
      <c r="E42" s="36"/>
      <c r="F42" s="36"/>
      <c r="G42" s="36"/>
      <c r="H42" s="36"/>
      <c r="I42" s="36"/>
      <c r="J42" s="36"/>
      <c r="K42" s="36"/>
      <c r="L42" s="36"/>
      <c r="M42" s="36"/>
      <c r="N42" s="36"/>
      <c r="O42" s="36"/>
    </row>
    <row r="43" spans="1:15" x14ac:dyDescent="0.45">
      <c r="A43" s="36"/>
      <c r="B43" s="36"/>
      <c r="C43" s="36"/>
      <c r="D43" s="36"/>
      <c r="E43" s="36"/>
      <c r="F43" s="36"/>
      <c r="G43" s="36"/>
      <c r="H43" s="36"/>
      <c r="I43" s="36"/>
      <c r="J43" s="36"/>
      <c r="K43" s="36"/>
      <c r="L43" s="36"/>
      <c r="M43" s="36"/>
      <c r="N43" s="36"/>
      <c r="O43" s="36"/>
    </row>
    <row r="44" spans="1:15" x14ac:dyDescent="0.45">
      <c r="A44" s="36"/>
      <c r="B44" s="36"/>
      <c r="C44" s="36"/>
      <c r="D44" s="36"/>
      <c r="E44" s="36"/>
      <c r="F44" s="36"/>
      <c r="G44" s="36"/>
      <c r="H44" s="36"/>
      <c r="I44" s="36"/>
      <c r="J44" s="36"/>
      <c r="K44" s="36"/>
      <c r="L44" s="36"/>
      <c r="M44" s="36"/>
      <c r="N44" s="36"/>
      <c r="O44" s="36"/>
    </row>
    <row r="45" spans="1:15" x14ac:dyDescent="0.45">
      <c r="A45" s="36"/>
      <c r="B45" s="36"/>
      <c r="C45" s="36"/>
      <c r="D45" s="36"/>
      <c r="E45" s="36"/>
      <c r="F45" s="36"/>
      <c r="G45" s="36"/>
      <c r="H45" s="36"/>
      <c r="I45" s="36"/>
      <c r="J45" s="36"/>
      <c r="K45" s="36"/>
      <c r="L45" s="36"/>
      <c r="M45" s="36"/>
      <c r="N45" s="36"/>
      <c r="O45" s="36"/>
    </row>
    <row r="46" spans="1:15" x14ac:dyDescent="0.45">
      <c r="A46" s="36"/>
      <c r="B46" s="36"/>
      <c r="C46" s="36"/>
      <c r="D46" s="36"/>
      <c r="E46" s="36"/>
      <c r="F46" s="36"/>
      <c r="G46" s="36"/>
      <c r="H46" s="36"/>
      <c r="I46" s="36"/>
      <c r="J46" s="36"/>
      <c r="K46" s="36"/>
      <c r="L46" s="36"/>
      <c r="M46" s="36"/>
      <c r="N46" s="36"/>
      <c r="O46" s="36"/>
    </row>
    <row r="47" spans="1:15" x14ac:dyDescent="0.45">
      <c r="A47" s="36"/>
      <c r="B47" s="36"/>
      <c r="C47" s="36"/>
      <c r="D47" s="36"/>
      <c r="E47" s="36"/>
      <c r="F47" s="36"/>
      <c r="G47" s="36"/>
      <c r="H47" s="36"/>
      <c r="I47" s="36"/>
      <c r="J47" s="36"/>
      <c r="K47" s="36"/>
      <c r="L47" s="36"/>
      <c r="M47" s="36"/>
      <c r="N47" s="36"/>
      <c r="O47" s="36"/>
    </row>
    <row r="48" spans="1:15" x14ac:dyDescent="0.45">
      <c r="A48" s="36"/>
      <c r="B48" s="36"/>
      <c r="C48" s="36"/>
      <c r="D48" s="36"/>
      <c r="E48" s="36"/>
      <c r="F48" s="36"/>
      <c r="G48" s="36"/>
      <c r="H48" s="36"/>
      <c r="I48" s="36"/>
      <c r="J48" s="36"/>
      <c r="K48" s="36"/>
      <c r="L48" s="36"/>
      <c r="M48" s="36"/>
      <c r="N48" s="36"/>
      <c r="O48" s="36"/>
    </row>
    <row r="49" spans="1:15" x14ac:dyDescent="0.45">
      <c r="A49" s="36"/>
      <c r="B49" s="36"/>
      <c r="C49" s="36"/>
      <c r="D49" s="36"/>
      <c r="E49" s="36"/>
      <c r="F49" s="36"/>
      <c r="G49" s="36"/>
      <c r="H49" s="36"/>
      <c r="I49" s="36"/>
      <c r="J49" s="36"/>
      <c r="K49" s="36"/>
      <c r="L49" s="36"/>
      <c r="M49" s="36"/>
      <c r="N49" s="36"/>
      <c r="O49" s="36"/>
    </row>
    <row r="50" spans="1:15" x14ac:dyDescent="0.45">
      <c r="A50" s="36"/>
      <c r="B50" s="36"/>
      <c r="C50" s="36"/>
      <c r="D50" s="36"/>
      <c r="E50" s="36"/>
      <c r="F50" s="36"/>
      <c r="G50" s="36"/>
      <c r="H50" s="36"/>
      <c r="I50" s="36"/>
      <c r="J50" s="36"/>
      <c r="K50" s="36"/>
      <c r="L50" s="36"/>
      <c r="M50" s="36"/>
      <c r="N50" s="36"/>
      <c r="O50" s="36"/>
    </row>
    <row r="51" spans="1:15" x14ac:dyDescent="0.45">
      <c r="A51" s="36"/>
      <c r="B51" s="36"/>
      <c r="C51" s="36"/>
      <c r="D51" s="36"/>
      <c r="E51" s="36"/>
      <c r="F51" s="36"/>
      <c r="G51" s="36"/>
      <c r="H51" s="36"/>
      <c r="I51" s="36"/>
      <c r="J51" s="36"/>
      <c r="K51" s="36"/>
      <c r="L51" s="36"/>
      <c r="M51" s="36"/>
      <c r="N51" s="36"/>
      <c r="O51" s="36"/>
    </row>
    <row r="52" spans="1:15" x14ac:dyDescent="0.45">
      <c r="A52" s="36"/>
      <c r="B52" s="36"/>
      <c r="C52" s="36"/>
      <c r="D52" s="36"/>
      <c r="E52" s="36"/>
      <c r="F52" s="36"/>
      <c r="G52" s="36"/>
      <c r="H52" s="36"/>
      <c r="I52" s="36"/>
      <c r="J52" s="36"/>
      <c r="K52" s="36"/>
      <c r="L52" s="36"/>
      <c r="M52" s="36"/>
      <c r="N52" s="36"/>
      <c r="O52" s="36"/>
    </row>
    <row r="53" spans="1:15" x14ac:dyDescent="0.45">
      <c r="A53" s="36"/>
      <c r="B53" s="36"/>
      <c r="C53" s="36"/>
      <c r="D53" s="36"/>
      <c r="E53" s="36"/>
      <c r="F53" s="36"/>
      <c r="G53" s="36"/>
      <c r="H53" s="36"/>
      <c r="I53" s="36"/>
      <c r="J53" s="36"/>
      <c r="K53" s="36"/>
      <c r="L53" s="36"/>
      <c r="M53" s="36"/>
      <c r="N53" s="36"/>
      <c r="O53" s="36"/>
    </row>
    <row r="54" spans="1:15" x14ac:dyDescent="0.45">
      <c r="A54" s="36"/>
      <c r="B54" s="36"/>
      <c r="C54" s="36"/>
      <c r="D54" s="36"/>
      <c r="E54" s="36"/>
      <c r="F54" s="36"/>
      <c r="G54" s="36"/>
      <c r="H54" s="36"/>
      <c r="I54" s="36"/>
      <c r="J54" s="36"/>
      <c r="K54" s="36"/>
      <c r="L54" s="36"/>
      <c r="M54" s="36"/>
      <c r="N54" s="36"/>
      <c r="O54" s="36"/>
    </row>
    <row r="55" spans="1:15" x14ac:dyDescent="0.45">
      <c r="A55" s="36"/>
      <c r="B55" s="36"/>
      <c r="C55" s="36"/>
      <c r="D55" s="36"/>
      <c r="E55" s="36"/>
      <c r="F55" s="36"/>
      <c r="G55" s="36"/>
      <c r="H55" s="36"/>
      <c r="I55" s="36"/>
      <c r="J55" s="36"/>
      <c r="K55" s="36"/>
      <c r="L55" s="36"/>
      <c r="M55" s="36"/>
      <c r="N55" s="36"/>
      <c r="O55" s="36"/>
    </row>
    <row r="56" spans="1:15" x14ac:dyDescent="0.45">
      <c r="A56" s="36"/>
      <c r="B56" s="36"/>
      <c r="C56" s="36"/>
      <c r="D56" s="36"/>
      <c r="E56" s="36"/>
      <c r="F56" s="36"/>
      <c r="G56" s="36"/>
      <c r="H56" s="36"/>
      <c r="I56" s="36"/>
      <c r="J56" s="36"/>
      <c r="K56" s="36"/>
      <c r="L56" s="36"/>
      <c r="M56" s="36"/>
      <c r="N56" s="36"/>
      <c r="O56" s="36"/>
    </row>
    <row r="57" spans="1:15" x14ac:dyDescent="0.45">
      <c r="A57" s="36"/>
      <c r="B57" s="36"/>
      <c r="C57" s="36"/>
      <c r="D57" s="36"/>
      <c r="E57" s="36"/>
      <c r="F57" s="36"/>
      <c r="G57" s="36"/>
      <c r="H57" s="36"/>
      <c r="I57" s="36"/>
      <c r="J57" s="36"/>
      <c r="K57" s="36"/>
      <c r="L57" s="36"/>
      <c r="M57" s="36"/>
      <c r="N57" s="36"/>
      <c r="O57" s="36"/>
    </row>
    <row r="58" spans="1:15" x14ac:dyDescent="0.45">
      <c r="A58" s="36"/>
      <c r="B58" s="36"/>
      <c r="C58" s="36"/>
      <c r="D58" s="36"/>
      <c r="E58" s="36"/>
      <c r="F58" s="36"/>
      <c r="G58" s="36"/>
      <c r="H58" s="36"/>
      <c r="I58" s="36"/>
      <c r="J58" s="36"/>
      <c r="K58" s="36"/>
      <c r="L58" s="36"/>
      <c r="M58" s="36"/>
      <c r="N58" s="36"/>
      <c r="O58" s="36"/>
    </row>
    <row r="59" spans="1:15" x14ac:dyDescent="0.45">
      <c r="A59" s="36"/>
      <c r="B59" s="36"/>
      <c r="C59" s="36"/>
      <c r="D59" s="36"/>
      <c r="E59" s="36"/>
      <c r="F59" s="36"/>
      <c r="G59" s="36"/>
      <c r="H59" s="36"/>
      <c r="I59" s="36"/>
      <c r="J59" s="36"/>
      <c r="K59" s="36"/>
      <c r="L59" s="36"/>
      <c r="M59" s="36"/>
      <c r="N59" s="36"/>
      <c r="O59" s="36"/>
    </row>
    <row r="60" spans="1:15" x14ac:dyDescent="0.45">
      <c r="A60" s="36"/>
      <c r="B60" s="36"/>
      <c r="C60" s="36"/>
      <c r="D60" s="36"/>
      <c r="E60" s="36"/>
      <c r="F60" s="36"/>
      <c r="G60" s="36"/>
      <c r="H60" s="36"/>
      <c r="I60" s="36"/>
      <c r="J60" s="36"/>
      <c r="K60" s="36"/>
      <c r="L60" s="36"/>
      <c r="M60" s="36"/>
      <c r="N60" s="36"/>
      <c r="O60" s="36"/>
    </row>
    <row r="61" spans="1:15" x14ac:dyDescent="0.45">
      <c r="A61" s="36"/>
      <c r="B61" s="36"/>
      <c r="C61" s="36"/>
      <c r="D61" s="36"/>
      <c r="E61" s="36"/>
      <c r="F61" s="36"/>
      <c r="G61" s="36"/>
      <c r="H61" s="36"/>
      <c r="I61" s="36"/>
      <c r="J61" s="36"/>
      <c r="K61" s="36"/>
      <c r="L61" s="36"/>
      <c r="M61" s="36"/>
      <c r="N61" s="36"/>
      <c r="O61" s="36"/>
    </row>
    <row r="62" spans="1:15" x14ac:dyDescent="0.45">
      <c r="A62" s="36"/>
      <c r="B62" s="36"/>
      <c r="C62" s="36"/>
      <c r="D62" s="36"/>
      <c r="E62" s="36"/>
      <c r="F62" s="36"/>
      <c r="G62" s="36"/>
      <c r="H62" s="36"/>
      <c r="I62" s="36"/>
      <c r="J62" s="36"/>
      <c r="K62" s="36"/>
      <c r="L62" s="36"/>
      <c r="M62" s="36"/>
      <c r="N62" s="36"/>
      <c r="O62" s="36"/>
    </row>
  </sheetData>
  <conditionalFormatting sqref="C8:K27">
    <cfRule type="expression" dxfId="22" priority="2">
      <formula>$H8="Completed"</formula>
    </cfRule>
  </conditionalFormatting>
  <conditionalFormatting sqref="H8:H27">
    <cfRule type="beginsWith" dxfId="21" priority="4" operator="beginsWith" text="Started">
      <formula>LEFT(H8,LEN("Started"))="Started"</formula>
    </cfRule>
    <cfRule type="containsText" dxfId="20" priority="5" operator="containsText" text="Not Started">
      <formula>NOT(ISERROR(SEARCH("Not Started",H8)))</formula>
    </cfRule>
  </conditionalFormatting>
  <conditionalFormatting sqref="I8:I27">
    <cfRule type="cellIs" dxfId="19" priority="1" operator="lessThan">
      <formula>0</formula>
    </cfRule>
  </conditionalFormatting>
  <dataValidations count="3">
    <dataValidation type="list" allowBlank="1" showInputMessage="1" showErrorMessage="1" sqref="D8:D27" xr:uid="{1E0A1928-F6A4-4844-AF40-EE8CEA5C314E}">
      <formula1>SubjectList</formula1>
    </dataValidation>
    <dataValidation type="list" allowBlank="1" showInputMessage="1" showErrorMessage="1" sqref="E8:E27" xr:uid="{2CBCC68E-4490-4BC1-8F3A-56709DE3037C}">
      <formula1>WorkTypes</formula1>
    </dataValidation>
    <dataValidation type="list" allowBlank="1" showInputMessage="1" showErrorMessage="1" sqref="H8:H27" xr:uid="{2C18A7AF-28B5-45EA-BDBC-B0091CD4E9A3}">
      <formula1>"Not Started,Started,Completed"</formula1>
    </dataValidation>
  </dataValidations>
  <hyperlinks>
    <hyperlink ref="K8" r:id="rId1" xr:uid="{85D69743-41E6-4ED0-8CA6-7E046F79A48C}"/>
    <hyperlink ref="K9" r:id="rId2" xr:uid="{2EEBAA59-76CD-4765-B418-769B133BB49D}"/>
    <hyperlink ref="K10" r:id="rId3" xr:uid="{C437658C-EDB3-430F-83C1-E301E8CB7800}"/>
    <hyperlink ref="K11" r:id="rId4" xr:uid="{1485BD64-7118-4CF6-9B48-8777B72C7D41}"/>
    <hyperlink ref="K12" r:id="rId5" xr:uid="{D0BC04B5-087F-4F23-8601-BC4F3EF9180F}"/>
    <hyperlink ref="K13" r:id="rId6" xr:uid="{4D74D7DB-5577-45E7-8DBC-ACEB33AB1F69}"/>
    <hyperlink ref="K14" r:id="rId7" xr:uid="{A0E523AA-DE86-4323-8817-A79BADF98E61}"/>
    <hyperlink ref="K15" r:id="rId8" xr:uid="{6C04EB79-442F-4287-A396-0275D7797EBE}"/>
    <hyperlink ref="K16" r:id="rId9" xr:uid="{6F83BA6E-4FAB-49C9-858B-AE2C5175E7E5}"/>
    <hyperlink ref="K17" r:id="rId10" xr:uid="{C26F4BBA-D8BA-4454-92A4-4E4D01578981}"/>
    <hyperlink ref="K18" r:id="rId11" xr:uid="{2B72EAD5-3EBC-452A-BE4A-1F6141C07DEC}"/>
    <hyperlink ref="K19" r:id="rId12" xr:uid="{F1A490D5-A7CC-462C-952F-8CF14871D0C5}"/>
    <hyperlink ref="K20" r:id="rId13" xr:uid="{A194AF45-39CF-455B-B34C-BE43961FB470}"/>
    <hyperlink ref="K21" r:id="rId14" xr:uid="{75892AB6-01BA-4DD8-963E-BA80DB983E14}"/>
    <hyperlink ref="K22" r:id="rId15" xr:uid="{86BAC01F-1E2C-40B4-BAA5-A6B989EC27E5}"/>
    <hyperlink ref="K23" r:id="rId16" xr:uid="{2DA8661C-162B-4624-BFB7-CF1C2BF448F2}"/>
    <hyperlink ref="K24" r:id="rId17" xr:uid="{DE0003C8-9BF1-43EA-A26F-2BCD910FF86C}"/>
    <hyperlink ref="K25" r:id="rId18" xr:uid="{7D1523E9-0FE7-4CB9-961A-B263718FA45F}"/>
    <hyperlink ref="K26" r:id="rId19" xr:uid="{3DAD0956-71C6-4D25-BE4A-401C1A78FD14}"/>
    <hyperlink ref="K27" r:id="rId20" xr:uid="{84BB84E8-82B4-46B6-ACDE-0E04EA12C1B6}"/>
  </hyperlinks>
  <pageMargins left="0.7" right="0.7" top="0.75" bottom="0.75" header="0.3" footer="0.3"/>
  <pageSetup paperSize="9" orientation="portrait" r:id="rId21"/>
  <drawing r:id="rId22"/>
  <tableParts count="1">
    <tablePart r:id="rId23"/>
  </tableParts>
  <extLst>
    <ext xmlns:x15="http://schemas.microsoft.com/office/spreadsheetml/2010/11/main" uri="{3A4CF648-6AED-40f4-86FF-DC5316D8AED3}">
      <x14:slicerList xmlns:x14="http://schemas.microsoft.com/office/spreadsheetml/2009/9/main">
        <x14:slicer r:id="rId2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ADB1E-0C46-47CA-B06B-3FEAF3352B3C}">
  <dimension ref="A1:XT43"/>
  <sheetViews>
    <sheetView showGridLines="0" tabSelected="1" zoomScale="88" zoomScaleNormal="88" workbookViewId="0">
      <pane xSplit="6" ySplit="5" topLeftCell="G12" activePane="bottomRight" state="frozen"/>
      <selection pane="topRight" activeCell="G1" sqref="G1"/>
      <selection pane="bottomLeft" activeCell="A6" sqref="A6"/>
      <selection pane="bottomRight" activeCell="F34" sqref="F34"/>
    </sheetView>
  </sheetViews>
  <sheetFormatPr defaultRowHeight="16.5" x14ac:dyDescent="0.45"/>
  <cols>
    <col min="1" max="1" width="3.81640625" customWidth="1"/>
    <col min="2" max="2" width="31.453125" style="2" customWidth="1"/>
    <col min="3" max="3" width="21.81640625" style="2" bestFit="1" customWidth="1"/>
    <col min="4" max="4" width="13.1796875" style="2" bestFit="1" customWidth="1"/>
    <col min="5" max="5" width="11.81640625" style="4" bestFit="1" customWidth="1"/>
    <col min="6" max="6" width="14.1796875" style="2" customWidth="1"/>
    <col min="7" max="30" width="7.90625" bestFit="1" customWidth="1"/>
    <col min="31" max="34" width="7.7265625" bestFit="1" customWidth="1"/>
    <col min="35" max="37" width="8.6328125" bestFit="1" customWidth="1"/>
    <col min="38" max="46" width="7.08984375" bestFit="1" customWidth="1"/>
    <col min="47" max="403" width="8.81640625" bestFit="1" customWidth="1"/>
  </cols>
  <sheetData>
    <row r="1" spans="1:644" s="8" customFormat="1" ht="48.75" customHeight="1" x14ac:dyDescent="0.45">
      <c r="A1" s="7"/>
      <c r="B1" s="12" t="s">
        <v>91</v>
      </c>
      <c r="C1" s="13"/>
      <c r="D1" s="9"/>
      <c r="E1" s="9"/>
      <c r="F1" s="9"/>
      <c r="G1" s="7"/>
      <c r="H1" s="7"/>
      <c r="I1" s="7"/>
      <c r="J1" s="7"/>
      <c r="K1" s="7"/>
      <c r="L1" s="7"/>
      <c r="M1" s="7"/>
      <c r="N1" s="7"/>
      <c r="O1" s="7"/>
      <c r="P1" s="7"/>
      <c r="Q1" s="7"/>
      <c r="R1" s="7"/>
      <c r="S1" s="7"/>
      <c r="T1" s="7"/>
      <c r="U1" s="7"/>
      <c r="V1" s="7"/>
    </row>
    <row r="2" spans="1:644" ht="10.5" customHeight="1" x14ac:dyDescent="0.45"/>
    <row r="3" spans="1:644" ht="10.5" customHeight="1" x14ac:dyDescent="0.45"/>
    <row r="4" spans="1:644" ht="14.5" x14ac:dyDescent="0.35">
      <c r="B4" s="17" t="s">
        <v>88</v>
      </c>
      <c r="C4" s="18"/>
      <c r="D4" s="18"/>
      <c r="E4" s="19"/>
      <c r="F4" s="18"/>
      <c r="G4" s="20" cm="1">
        <f t="array" ref="G4:BE4">_xlfn.ANCHORARRAY(G5)</f>
        <v>46305</v>
      </c>
      <c r="H4" s="20">
        <v>46306</v>
      </c>
      <c r="I4" s="20">
        <v>46307</v>
      </c>
      <c r="J4" s="20">
        <v>46308</v>
      </c>
      <c r="K4" s="20">
        <v>46309</v>
      </c>
      <c r="L4" s="20">
        <v>46310</v>
      </c>
      <c r="M4" s="20">
        <v>46311</v>
      </c>
      <c r="N4" s="20">
        <v>46312</v>
      </c>
      <c r="O4" s="20">
        <v>46313</v>
      </c>
      <c r="P4" s="20">
        <v>46314</v>
      </c>
      <c r="Q4" s="20">
        <v>46315</v>
      </c>
      <c r="R4" s="20">
        <v>46316</v>
      </c>
      <c r="S4" s="20">
        <v>46317</v>
      </c>
      <c r="T4" s="20">
        <v>46318</v>
      </c>
      <c r="U4" s="20">
        <v>46319</v>
      </c>
      <c r="V4" s="20">
        <v>46320</v>
      </c>
      <c r="W4" s="20">
        <v>46321</v>
      </c>
      <c r="X4" s="20">
        <v>46322</v>
      </c>
      <c r="Y4" s="20">
        <v>46323</v>
      </c>
      <c r="Z4" s="20">
        <v>46324</v>
      </c>
      <c r="AA4" s="20">
        <v>46325</v>
      </c>
      <c r="AB4" s="20">
        <v>46326</v>
      </c>
      <c r="AC4" s="20">
        <v>46327</v>
      </c>
      <c r="AD4" s="20">
        <v>46328</v>
      </c>
      <c r="AE4" s="20">
        <v>46329</v>
      </c>
      <c r="AF4" s="20">
        <v>46330</v>
      </c>
      <c r="AG4" s="20">
        <v>46331</v>
      </c>
      <c r="AH4" s="20">
        <v>46332</v>
      </c>
      <c r="AI4" s="20">
        <v>46333</v>
      </c>
      <c r="AJ4" s="20">
        <v>46334</v>
      </c>
      <c r="AK4" s="20">
        <v>46335</v>
      </c>
      <c r="AL4" s="21">
        <v>46336</v>
      </c>
      <c r="AM4" s="21">
        <v>46337</v>
      </c>
      <c r="AN4" s="21">
        <v>46338</v>
      </c>
      <c r="AO4" s="21">
        <v>46339</v>
      </c>
      <c r="AP4" s="21">
        <v>46340</v>
      </c>
      <c r="AQ4" s="21">
        <v>46341</v>
      </c>
      <c r="AR4" s="21">
        <v>46342</v>
      </c>
      <c r="AS4" s="21">
        <v>46343</v>
      </c>
      <c r="AT4" s="21">
        <v>46344</v>
      </c>
      <c r="AU4" s="22">
        <v>46345</v>
      </c>
      <c r="AV4" s="22">
        <v>46346</v>
      </c>
      <c r="AW4" s="22">
        <v>46347</v>
      </c>
      <c r="AX4" s="22">
        <v>46348</v>
      </c>
      <c r="AY4" s="22">
        <v>46349</v>
      </c>
      <c r="AZ4" s="22">
        <v>46350</v>
      </c>
      <c r="BA4" s="22">
        <v>46351</v>
      </c>
      <c r="BB4" s="22">
        <v>46352</v>
      </c>
      <c r="BC4" s="22">
        <v>46353</v>
      </c>
      <c r="BD4" s="22">
        <v>46354</v>
      </c>
      <c r="BE4" s="22">
        <v>46355</v>
      </c>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c r="IJ4" s="22"/>
      <c r="IK4" s="22"/>
      <c r="IL4" s="22"/>
      <c r="IM4" s="22"/>
      <c r="IN4" s="22"/>
      <c r="IO4" s="22"/>
      <c r="IP4" s="22"/>
      <c r="IQ4" s="22"/>
      <c r="IR4" s="22"/>
      <c r="IS4" s="22"/>
      <c r="IT4" s="22"/>
      <c r="IU4" s="22"/>
      <c r="IV4" s="22"/>
      <c r="IW4" s="22"/>
      <c r="IX4" s="22"/>
      <c r="IY4" s="22"/>
      <c r="IZ4" s="22"/>
      <c r="JA4" s="22"/>
      <c r="JB4" s="22"/>
      <c r="JC4" s="22"/>
      <c r="JD4" s="22"/>
      <c r="JE4" s="22"/>
      <c r="JF4" s="22"/>
      <c r="JG4" s="22"/>
      <c r="JH4" s="22"/>
      <c r="JI4" s="22"/>
      <c r="JJ4" s="22"/>
      <c r="JK4" s="22"/>
      <c r="JL4" s="22"/>
      <c r="JM4" s="22"/>
      <c r="JN4" s="22"/>
      <c r="JO4" s="22"/>
      <c r="JP4" s="22"/>
      <c r="JQ4" s="22"/>
      <c r="JR4" s="22"/>
      <c r="JS4" s="22"/>
      <c r="JT4" s="22"/>
      <c r="JU4" s="22"/>
      <c r="JV4" s="22"/>
      <c r="JW4" s="22"/>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c r="SK4" s="5"/>
      <c r="SL4" s="5"/>
      <c r="SM4" s="5"/>
      <c r="SN4" s="5"/>
      <c r="SO4" s="5"/>
      <c r="SP4" s="5"/>
      <c r="SQ4" s="5"/>
      <c r="SR4" s="5"/>
      <c r="SS4" s="5"/>
      <c r="ST4" s="5"/>
      <c r="SU4" s="5"/>
      <c r="SV4" s="5"/>
      <c r="SW4" s="5"/>
      <c r="SX4" s="5"/>
      <c r="SY4" s="5"/>
      <c r="SZ4" s="5"/>
      <c r="TA4" s="5"/>
      <c r="TB4" s="5"/>
      <c r="TC4" s="5"/>
      <c r="TD4" s="5"/>
      <c r="TE4" s="5"/>
      <c r="TF4" s="5"/>
      <c r="TG4" s="5"/>
      <c r="TH4" s="5"/>
      <c r="TI4" s="5"/>
      <c r="TJ4" s="5"/>
      <c r="TK4" s="5"/>
      <c r="TL4" s="5"/>
      <c r="TM4" s="5"/>
      <c r="TN4" s="5"/>
      <c r="TO4" s="5"/>
      <c r="TP4" s="5"/>
      <c r="TQ4" s="5"/>
      <c r="TR4" s="5"/>
      <c r="TS4" s="5"/>
      <c r="TT4" s="5"/>
      <c r="TU4" s="5"/>
      <c r="TV4" s="5"/>
      <c r="TW4" s="5"/>
      <c r="TX4" s="5"/>
      <c r="TY4" s="5"/>
      <c r="TZ4" s="5"/>
      <c r="UA4" s="5"/>
      <c r="UB4" s="5"/>
      <c r="UC4" s="5"/>
      <c r="UD4" s="5"/>
      <c r="UE4" s="5"/>
      <c r="UF4" s="5"/>
      <c r="UG4" s="5"/>
      <c r="UH4" s="5"/>
      <c r="UI4" s="5"/>
      <c r="UJ4" s="5"/>
      <c r="UK4" s="5"/>
      <c r="UL4" s="5"/>
      <c r="UM4" s="5"/>
      <c r="UN4" s="5"/>
      <c r="UO4" s="5"/>
      <c r="UP4" s="5"/>
      <c r="UQ4" s="5"/>
      <c r="UR4" s="5"/>
      <c r="US4" s="5"/>
      <c r="UT4" s="5"/>
      <c r="UU4" s="5"/>
      <c r="UV4" s="5"/>
      <c r="UW4" s="5"/>
      <c r="UX4" s="5"/>
      <c r="UY4" s="5"/>
      <c r="UZ4" s="5"/>
      <c r="VA4" s="5"/>
      <c r="VB4" s="5"/>
      <c r="VC4" s="5"/>
      <c r="VD4" s="5"/>
      <c r="VE4" s="5"/>
      <c r="VF4" s="5"/>
      <c r="VG4" s="5"/>
      <c r="VH4" s="5"/>
      <c r="VI4" s="5"/>
      <c r="VJ4" s="5"/>
      <c r="VK4" s="5"/>
      <c r="VL4" s="5"/>
      <c r="VM4" s="5"/>
      <c r="VN4" s="5"/>
      <c r="VO4" s="5"/>
      <c r="VP4" s="5"/>
      <c r="VQ4" s="5"/>
      <c r="VR4" s="5"/>
      <c r="VS4" s="5"/>
      <c r="VT4" s="5"/>
      <c r="VU4" s="5"/>
      <c r="VV4" s="5"/>
      <c r="VW4" s="5"/>
      <c r="VX4" s="5"/>
      <c r="VY4" s="5"/>
      <c r="VZ4" s="5"/>
      <c r="WA4" s="5"/>
      <c r="WB4" s="5"/>
      <c r="WC4" s="5"/>
      <c r="WD4" s="5"/>
      <c r="WE4" s="5"/>
      <c r="WF4" s="5"/>
      <c r="WG4" s="5"/>
      <c r="WH4" s="5"/>
      <c r="WI4" s="5"/>
      <c r="WJ4" s="5"/>
      <c r="WK4" s="5"/>
      <c r="WL4" s="5"/>
      <c r="WM4" s="5"/>
      <c r="WN4" s="5"/>
      <c r="WO4" s="5"/>
      <c r="WP4" s="5"/>
      <c r="WQ4" s="5"/>
      <c r="WR4" s="5"/>
      <c r="WS4" s="5"/>
      <c r="WT4" s="5"/>
      <c r="WU4" s="5"/>
      <c r="WV4" s="5"/>
      <c r="WW4" s="5"/>
      <c r="WX4" s="5"/>
      <c r="WY4" s="5"/>
      <c r="WZ4" s="5"/>
      <c r="XA4" s="5"/>
      <c r="XB4" s="5"/>
      <c r="XC4" s="5"/>
      <c r="XD4" s="5"/>
      <c r="XE4" s="5"/>
      <c r="XF4" s="5"/>
      <c r="XG4" s="5"/>
      <c r="XH4" s="5"/>
      <c r="XI4" s="5"/>
      <c r="XJ4" s="5"/>
      <c r="XK4" s="5"/>
      <c r="XL4" s="5"/>
      <c r="XM4" s="5"/>
      <c r="XN4" s="5"/>
      <c r="XO4" s="5"/>
      <c r="XP4" s="5"/>
      <c r="XQ4" s="5"/>
      <c r="XR4" s="5"/>
      <c r="XS4" s="5"/>
      <c r="XT4" s="5"/>
    </row>
    <row r="5" spans="1:644" ht="14.5" x14ac:dyDescent="0.35">
      <c r="B5" s="23" t="s">
        <v>0</v>
      </c>
      <c r="C5" s="23" t="s">
        <v>1</v>
      </c>
      <c r="D5" s="23" t="s">
        <v>5</v>
      </c>
      <c r="E5" s="24" t="s">
        <v>3</v>
      </c>
      <c r="F5" s="23" t="s">
        <v>93</v>
      </c>
      <c r="G5" s="25" cm="1">
        <f t="array" ref="G5:BE5">_xlfn.SEQUENCE(, MAX(Tasks[Due]) - MIN(Tasks[Due]) + 1, MIN(Tasks[Due]))</f>
        <v>46305</v>
      </c>
      <c r="H5" s="25">
        <v>46306</v>
      </c>
      <c r="I5" s="25">
        <v>46307</v>
      </c>
      <c r="J5" s="25">
        <v>46308</v>
      </c>
      <c r="K5" s="25">
        <v>46309</v>
      </c>
      <c r="L5" s="25">
        <v>46310</v>
      </c>
      <c r="M5" s="25">
        <v>46311</v>
      </c>
      <c r="N5" s="25">
        <v>46312</v>
      </c>
      <c r="O5" s="25">
        <v>46313</v>
      </c>
      <c r="P5" s="25">
        <v>46314</v>
      </c>
      <c r="Q5" s="25">
        <v>46315</v>
      </c>
      <c r="R5" s="25">
        <v>46316</v>
      </c>
      <c r="S5" s="25">
        <v>46317</v>
      </c>
      <c r="T5" s="25">
        <v>46318</v>
      </c>
      <c r="U5" s="25">
        <v>46319</v>
      </c>
      <c r="V5" s="25">
        <v>46320</v>
      </c>
      <c r="W5" s="25">
        <v>46321</v>
      </c>
      <c r="X5" s="25">
        <v>46322</v>
      </c>
      <c r="Y5" s="25">
        <v>46323</v>
      </c>
      <c r="Z5" s="25">
        <v>46324</v>
      </c>
      <c r="AA5" s="25">
        <v>46325</v>
      </c>
      <c r="AB5" s="25">
        <v>46326</v>
      </c>
      <c r="AC5" s="25">
        <v>46327</v>
      </c>
      <c r="AD5" s="25">
        <v>46328</v>
      </c>
      <c r="AE5" s="25">
        <v>46329</v>
      </c>
      <c r="AF5" s="25">
        <v>46330</v>
      </c>
      <c r="AG5" s="25">
        <v>46331</v>
      </c>
      <c r="AH5" s="25">
        <v>46332</v>
      </c>
      <c r="AI5" s="25">
        <v>46333</v>
      </c>
      <c r="AJ5" s="25">
        <v>46334</v>
      </c>
      <c r="AK5" s="25">
        <v>46335</v>
      </c>
      <c r="AL5" s="26">
        <v>46336</v>
      </c>
      <c r="AM5" s="26">
        <v>46337</v>
      </c>
      <c r="AN5" s="26">
        <v>46338</v>
      </c>
      <c r="AO5" s="26">
        <v>46339</v>
      </c>
      <c r="AP5" s="26">
        <v>46340</v>
      </c>
      <c r="AQ5" s="26">
        <v>46341</v>
      </c>
      <c r="AR5" s="26">
        <v>46342</v>
      </c>
      <c r="AS5" s="26">
        <v>46343</v>
      </c>
      <c r="AT5" s="26">
        <v>46344</v>
      </c>
      <c r="AU5" s="27">
        <v>46345</v>
      </c>
      <c r="AV5" s="27">
        <v>46346</v>
      </c>
      <c r="AW5" s="27">
        <v>46347</v>
      </c>
      <c r="AX5" s="27">
        <v>46348</v>
      </c>
      <c r="AY5" s="27">
        <v>46349</v>
      </c>
      <c r="AZ5" s="27">
        <v>46350</v>
      </c>
      <c r="BA5" s="27">
        <v>46351</v>
      </c>
      <c r="BB5" s="27">
        <v>46352</v>
      </c>
      <c r="BC5" s="27">
        <v>46353</v>
      </c>
      <c r="BD5" s="27">
        <v>46354</v>
      </c>
      <c r="BE5" s="27">
        <v>46355</v>
      </c>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27"/>
      <c r="DO5" s="27"/>
      <c r="DP5" s="27"/>
      <c r="DQ5" s="27"/>
      <c r="DR5" s="27"/>
      <c r="DS5" s="27"/>
      <c r="DT5" s="27"/>
      <c r="DU5" s="27"/>
      <c r="DV5" s="27"/>
      <c r="DW5" s="27"/>
      <c r="DX5" s="27"/>
      <c r="DY5" s="27"/>
      <c r="DZ5" s="27"/>
      <c r="EA5" s="27"/>
      <c r="EB5" s="27"/>
      <c r="EC5" s="27"/>
      <c r="ED5" s="27"/>
      <c r="EE5" s="27"/>
      <c r="EF5" s="27"/>
      <c r="EG5" s="27"/>
      <c r="EH5" s="27"/>
      <c r="EI5" s="27"/>
      <c r="EJ5" s="27"/>
      <c r="EK5" s="27"/>
      <c r="EL5" s="27"/>
      <c r="EM5" s="27"/>
      <c r="EN5" s="27"/>
      <c r="EO5" s="27"/>
      <c r="EP5" s="27"/>
      <c r="EQ5" s="27"/>
      <c r="ER5" s="27"/>
      <c r="ES5" s="27"/>
      <c r="ET5" s="27"/>
      <c r="EU5" s="27"/>
      <c r="EV5" s="27"/>
      <c r="EW5" s="27"/>
      <c r="EX5" s="27"/>
      <c r="EY5" s="27"/>
      <c r="EZ5" s="27"/>
      <c r="FA5" s="27"/>
      <c r="FB5" s="27"/>
      <c r="FC5" s="27"/>
      <c r="FD5" s="27"/>
      <c r="FE5" s="27"/>
      <c r="FF5" s="27"/>
      <c r="FG5" s="27"/>
      <c r="FH5" s="27"/>
      <c r="FI5" s="27"/>
      <c r="FJ5" s="27"/>
      <c r="FK5" s="27"/>
      <c r="FL5" s="27"/>
      <c r="FM5" s="27"/>
      <c r="FN5" s="27"/>
      <c r="FO5" s="27"/>
      <c r="FP5" s="27"/>
      <c r="FQ5" s="27"/>
      <c r="FR5" s="27"/>
      <c r="FS5" s="27"/>
      <c r="FT5" s="27"/>
      <c r="FU5" s="27"/>
      <c r="FV5" s="27"/>
      <c r="FW5" s="27"/>
      <c r="FX5" s="27"/>
      <c r="FY5" s="27"/>
      <c r="FZ5" s="27"/>
      <c r="GA5" s="27"/>
      <c r="GB5" s="27"/>
      <c r="GC5" s="27"/>
      <c r="GD5" s="27"/>
      <c r="GE5" s="27"/>
      <c r="GF5" s="27"/>
      <c r="GG5" s="27"/>
      <c r="GH5" s="27"/>
      <c r="GI5" s="27"/>
      <c r="GJ5" s="27"/>
      <c r="GK5" s="27"/>
      <c r="GL5" s="27"/>
      <c r="GM5" s="27"/>
      <c r="GN5" s="27"/>
      <c r="GO5" s="27"/>
      <c r="GP5" s="27"/>
      <c r="GQ5" s="27"/>
      <c r="GR5" s="27"/>
      <c r="GS5" s="27"/>
      <c r="GT5" s="27"/>
      <c r="GU5" s="27"/>
      <c r="GV5" s="27"/>
      <c r="GW5" s="27"/>
      <c r="GX5" s="27"/>
      <c r="GY5" s="27"/>
      <c r="GZ5" s="27"/>
      <c r="HA5" s="27"/>
      <c r="HB5" s="27"/>
      <c r="HC5" s="27"/>
      <c r="HD5" s="27"/>
      <c r="HE5" s="27"/>
      <c r="HF5" s="27"/>
      <c r="HG5" s="27"/>
      <c r="HH5" s="27"/>
      <c r="HI5" s="27"/>
      <c r="HJ5" s="27"/>
      <c r="HK5" s="27"/>
      <c r="HL5" s="27"/>
      <c r="HM5" s="27"/>
      <c r="HN5" s="27"/>
      <c r="HO5" s="27"/>
      <c r="HP5" s="27"/>
      <c r="HQ5" s="27"/>
      <c r="HR5" s="27"/>
      <c r="HS5" s="27"/>
      <c r="HT5" s="27"/>
      <c r="HU5" s="27"/>
      <c r="HV5" s="27"/>
      <c r="HW5" s="27"/>
      <c r="HX5" s="27"/>
      <c r="HY5" s="27"/>
      <c r="HZ5" s="27"/>
      <c r="IA5" s="27"/>
      <c r="IB5" s="27"/>
      <c r="IC5" s="27"/>
      <c r="ID5" s="27"/>
      <c r="IE5" s="27"/>
      <c r="IF5" s="27"/>
      <c r="IG5" s="27"/>
      <c r="IH5" s="27"/>
      <c r="II5" s="27"/>
      <c r="IJ5" s="27"/>
      <c r="IK5" s="27"/>
      <c r="IL5" s="27"/>
      <c r="IM5" s="27"/>
      <c r="IN5" s="27"/>
      <c r="IO5" s="27"/>
      <c r="IP5" s="27"/>
      <c r="IQ5" s="27"/>
      <c r="IR5" s="27"/>
      <c r="IS5" s="27"/>
      <c r="IT5" s="27"/>
      <c r="IU5" s="27"/>
      <c r="IV5" s="27"/>
      <c r="IW5" s="27"/>
      <c r="IX5" s="27"/>
      <c r="IY5" s="27"/>
      <c r="IZ5" s="27"/>
      <c r="JA5" s="27"/>
      <c r="JB5" s="27"/>
      <c r="JC5" s="27"/>
      <c r="JD5" s="27"/>
      <c r="JE5" s="27"/>
      <c r="JF5" s="27"/>
      <c r="JG5" s="27"/>
      <c r="JH5" s="27"/>
      <c r="JI5" s="27"/>
      <c r="JJ5" s="27"/>
      <c r="JK5" s="27"/>
      <c r="JL5" s="27"/>
      <c r="JM5" s="27"/>
      <c r="JN5" s="27"/>
      <c r="JO5" s="27"/>
      <c r="JP5" s="27"/>
      <c r="JQ5" s="27"/>
      <c r="JR5" s="27"/>
      <c r="JS5" s="27"/>
      <c r="JT5" s="27"/>
      <c r="JU5" s="27"/>
      <c r="JV5" s="27"/>
      <c r="JW5" s="27"/>
      <c r="JX5" s="6"/>
      <c r="JY5" s="6"/>
      <c r="JZ5" s="6"/>
      <c r="KA5" s="6"/>
      <c r="KB5" s="6"/>
      <c r="KC5" s="6"/>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MQ5" s="6"/>
      <c r="MR5" s="6"/>
      <c r="MS5" s="6"/>
      <c r="MT5" s="6"/>
      <c r="MU5" s="6"/>
      <c r="MV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row>
    <row r="6" spans="1:644" s="3" customFormat="1" ht="17.25" customHeight="1" x14ac:dyDescent="0.35">
      <c r="B6" s="28" t="str" cm="1">
        <f t="array" ref="B6:F25">_xlfn._xlws.SORT(_xlfn._xlws.FILTER(Tasks[[Task]:[Time Req''d]],Tasks[Due]&lt;&gt;"Completed"),4)</f>
        <v>Numerical Methods Report</v>
      </c>
      <c r="C6" s="28" t="str">
        <v>Applied Mathematics</v>
      </c>
      <c r="D6" s="28" t="str">
        <v>Assignment</v>
      </c>
      <c r="E6" s="29">
        <v>46305</v>
      </c>
      <c r="F6" s="30">
        <v>5</v>
      </c>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c r="GQ6" s="28"/>
      <c r="GR6" s="28"/>
      <c r="GS6" s="28"/>
      <c r="GT6" s="28"/>
      <c r="GU6" s="28"/>
      <c r="GV6" s="28"/>
      <c r="GW6" s="28"/>
      <c r="GX6" s="28"/>
      <c r="GY6" s="28"/>
      <c r="GZ6" s="28"/>
      <c r="HA6" s="28"/>
      <c r="HB6" s="28"/>
      <c r="HC6" s="28"/>
      <c r="HD6" s="28"/>
      <c r="HE6" s="28"/>
      <c r="HF6" s="28"/>
      <c r="HG6" s="28"/>
      <c r="HH6" s="28"/>
      <c r="HI6" s="28"/>
      <c r="HJ6" s="28"/>
      <c r="HK6" s="28"/>
      <c r="HL6" s="28"/>
      <c r="HM6" s="28"/>
      <c r="HN6" s="28"/>
      <c r="HO6" s="28"/>
      <c r="HP6" s="28"/>
      <c r="HQ6" s="28"/>
      <c r="HR6" s="28"/>
      <c r="HS6" s="28"/>
      <c r="HT6" s="28"/>
      <c r="HU6" s="28"/>
      <c r="HV6" s="28"/>
      <c r="HW6" s="28"/>
      <c r="HX6" s="28"/>
      <c r="HY6" s="28"/>
      <c r="HZ6" s="28"/>
      <c r="IA6" s="28"/>
      <c r="IB6" s="28"/>
      <c r="IC6" s="28"/>
      <c r="ID6" s="28"/>
      <c r="IE6" s="28"/>
      <c r="IF6" s="28"/>
      <c r="IG6" s="28"/>
      <c r="IH6" s="28"/>
      <c r="II6" s="28"/>
      <c r="IJ6" s="28"/>
      <c r="IK6" s="28"/>
      <c r="IL6" s="28"/>
      <c r="IM6" s="28"/>
      <c r="IN6" s="28"/>
      <c r="IO6" s="28"/>
      <c r="IP6" s="28"/>
      <c r="IQ6" s="28"/>
      <c r="IR6" s="28"/>
      <c r="IS6" s="28"/>
      <c r="IT6" s="28"/>
      <c r="IU6" s="28"/>
      <c r="IV6" s="28"/>
      <c r="IW6" s="28"/>
      <c r="IX6" s="28"/>
      <c r="IY6" s="28"/>
      <c r="IZ6" s="28"/>
      <c r="JA6" s="28"/>
      <c r="JB6" s="28"/>
      <c r="JC6" s="28"/>
      <c r="JD6" s="28"/>
      <c r="JE6" s="28"/>
      <c r="JF6" s="28"/>
      <c r="JG6" s="28"/>
      <c r="JH6" s="28"/>
      <c r="JI6" s="28"/>
      <c r="JJ6" s="28"/>
      <c r="JK6" s="28"/>
      <c r="JL6" s="28"/>
      <c r="JM6" s="28"/>
      <c r="JN6" s="28"/>
      <c r="JO6" s="28"/>
      <c r="JP6" s="28"/>
      <c r="JQ6" s="28"/>
      <c r="JR6" s="28"/>
      <c r="JS6" s="28"/>
      <c r="JT6" s="28"/>
      <c r="JU6" s="28"/>
      <c r="JV6" s="28"/>
      <c r="JW6" s="28"/>
    </row>
    <row r="7" spans="1:644" s="3" customFormat="1" ht="17.25" customHeight="1" x14ac:dyDescent="0.35">
      <c r="B7" s="28" t="str">
        <v>Sorting Algorithm Comparison</v>
      </c>
      <c r="C7" s="28" t="str">
        <v>Algorithms</v>
      </c>
      <c r="D7" s="28" t="str">
        <v>Assignment</v>
      </c>
      <c r="E7" s="29">
        <v>46307</v>
      </c>
      <c r="F7" s="30">
        <v>5</v>
      </c>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c r="HL7" s="28"/>
      <c r="HM7" s="28"/>
      <c r="HN7" s="28"/>
      <c r="HO7" s="28"/>
      <c r="HP7" s="28"/>
      <c r="HQ7" s="28"/>
      <c r="HR7" s="28"/>
      <c r="HS7" s="28"/>
      <c r="HT7" s="28"/>
      <c r="HU7" s="28"/>
      <c r="HV7" s="28"/>
      <c r="HW7" s="28"/>
      <c r="HX7" s="28"/>
      <c r="HY7" s="28"/>
      <c r="HZ7" s="28"/>
      <c r="IA7" s="28"/>
      <c r="IB7" s="28"/>
      <c r="IC7" s="28"/>
      <c r="ID7" s="28"/>
      <c r="IE7" s="28"/>
      <c r="IF7" s="28"/>
      <c r="IG7" s="28"/>
      <c r="IH7" s="28"/>
      <c r="II7" s="28"/>
      <c r="IJ7" s="28"/>
      <c r="IK7" s="28"/>
      <c r="IL7" s="28"/>
      <c r="IM7" s="28"/>
      <c r="IN7" s="28"/>
      <c r="IO7" s="28"/>
      <c r="IP7" s="28"/>
      <c r="IQ7" s="28"/>
      <c r="IR7" s="28"/>
      <c r="IS7" s="28"/>
      <c r="IT7" s="28"/>
      <c r="IU7" s="28"/>
      <c r="IV7" s="28"/>
      <c r="IW7" s="28"/>
      <c r="IX7" s="28"/>
      <c r="IY7" s="28"/>
      <c r="IZ7" s="28"/>
      <c r="JA7" s="28"/>
      <c r="JB7" s="28"/>
      <c r="JC7" s="28"/>
      <c r="JD7" s="28"/>
      <c r="JE7" s="28"/>
      <c r="JF7" s="28"/>
      <c r="JG7" s="28"/>
      <c r="JH7" s="28"/>
      <c r="JI7" s="28"/>
      <c r="JJ7" s="28"/>
      <c r="JK7" s="28"/>
      <c r="JL7" s="28"/>
      <c r="JM7" s="28"/>
      <c r="JN7" s="28"/>
      <c r="JO7" s="28"/>
      <c r="JP7" s="28"/>
      <c r="JQ7" s="28"/>
      <c r="JR7" s="28"/>
      <c r="JS7" s="28"/>
      <c r="JT7" s="28"/>
      <c r="JU7" s="28"/>
      <c r="JV7" s="28"/>
      <c r="JW7" s="28"/>
    </row>
    <row r="8" spans="1:644" s="3" customFormat="1" ht="17.25" customHeight="1" x14ac:dyDescent="0.35">
      <c r="B8" s="28" t="str">
        <v>Linear Systems Worksheet</v>
      </c>
      <c r="C8" s="28" t="str">
        <v>Linear Algebra</v>
      </c>
      <c r="D8" s="28" t="str">
        <v>Course Work</v>
      </c>
      <c r="E8" s="29">
        <v>46309</v>
      </c>
      <c r="F8" s="30">
        <v>3</v>
      </c>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c r="HL8" s="28"/>
      <c r="HM8" s="28"/>
      <c r="HN8" s="28"/>
      <c r="HO8" s="28"/>
      <c r="HP8" s="28"/>
      <c r="HQ8" s="28"/>
      <c r="HR8" s="28"/>
      <c r="HS8" s="28"/>
      <c r="HT8" s="28"/>
      <c r="HU8" s="28"/>
      <c r="HV8" s="28"/>
      <c r="HW8" s="28"/>
      <c r="HX8" s="28"/>
      <c r="HY8" s="28"/>
      <c r="HZ8" s="28"/>
      <c r="IA8" s="28"/>
      <c r="IB8" s="28"/>
      <c r="IC8" s="28"/>
      <c r="ID8" s="28"/>
      <c r="IE8" s="28"/>
      <c r="IF8" s="28"/>
      <c r="IG8" s="28"/>
      <c r="IH8" s="28"/>
      <c r="II8" s="28"/>
      <c r="IJ8" s="28"/>
      <c r="IK8" s="28"/>
      <c r="IL8" s="28"/>
      <c r="IM8" s="28"/>
      <c r="IN8" s="28"/>
      <c r="IO8" s="28"/>
      <c r="IP8" s="28"/>
      <c r="IQ8" s="28"/>
      <c r="IR8" s="28"/>
      <c r="IS8" s="28"/>
      <c r="IT8" s="28"/>
      <c r="IU8" s="28"/>
      <c r="IV8" s="28"/>
      <c r="IW8" s="28"/>
      <c r="IX8" s="28"/>
      <c r="IY8" s="28"/>
      <c r="IZ8" s="28"/>
      <c r="JA8" s="28"/>
      <c r="JB8" s="28"/>
      <c r="JC8" s="28"/>
      <c r="JD8" s="28"/>
      <c r="JE8" s="28"/>
      <c r="JF8" s="28"/>
      <c r="JG8" s="28"/>
      <c r="JH8" s="28"/>
      <c r="JI8" s="28"/>
      <c r="JJ8" s="28"/>
      <c r="JK8" s="28"/>
      <c r="JL8" s="28"/>
      <c r="JM8" s="28"/>
      <c r="JN8" s="28"/>
      <c r="JO8" s="28"/>
      <c r="JP8" s="28"/>
      <c r="JQ8" s="28"/>
      <c r="JR8" s="28"/>
      <c r="JS8" s="28"/>
      <c r="JT8" s="28"/>
      <c r="JU8" s="28"/>
      <c r="JV8" s="28"/>
      <c r="JW8" s="28"/>
    </row>
    <row r="9" spans="1:644" s="3" customFormat="1" ht="17.25" customHeight="1" x14ac:dyDescent="0.35">
      <c r="B9" s="28" t="str">
        <v>Logic &amp; Proofs Homework</v>
      </c>
      <c r="C9" s="28" t="str">
        <v>Pure Mathematics</v>
      </c>
      <c r="D9" s="28" t="str">
        <v>Assignment</v>
      </c>
      <c r="E9" s="29">
        <v>46310</v>
      </c>
      <c r="F9" s="30">
        <v>2</v>
      </c>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c r="HL9" s="28"/>
      <c r="HM9" s="28"/>
      <c r="HN9" s="28"/>
      <c r="HO9" s="28"/>
      <c r="HP9" s="28"/>
      <c r="HQ9" s="28"/>
      <c r="HR9" s="28"/>
      <c r="HS9" s="28"/>
      <c r="HT9" s="28"/>
      <c r="HU9" s="28"/>
      <c r="HV9" s="28"/>
      <c r="HW9" s="28"/>
      <c r="HX9" s="28"/>
      <c r="HY9" s="28"/>
      <c r="HZ9" s="28"/>
      <c r="IA9" s="28"/>
      <c r="IB9" s="28"/>
      <c r="IC9" s="28"/>
      <c r="ID9" s="28"/>
      <c r="IE9" s="28"/>
      <c r="IF9" s="28"/>
      <c r="IG9" s="28"/>
      <c r="IH9" s="28"/>
      <c r="II9" s="28"/>
      <c r="IJ9" s="28"/>
      <c r="IK9" s="28"/>
      <c r="IL9" s="28"/>
      <c r="IM9" s="28"/>
      <c r="IN9" s="28"/>
      <c r="IO9" s="28"/>
      <c r="IP9" s="28"/>
      <c r="IQ9" s="28"/>
      <c r="IR9" s="28"/>
      <c r="IS9" s="28"/>
      <c r="IT9" s="28"/>
      <c r="IU9" s="28"/>
      <c r="IV9" s="28"/>
      <c r="IW9" s="28"/>
      <c r="IX9" s="28"/>
      <c r="IY9" s="28"/>
      <c r="IZ9" s="28"/>
      <c r="JA9" s="28"/>
      <c r="JB9" s="28"/>
      <c r="JC9" s="28"/>
      <c r="JD9" s="28"/>
      <c r="JE9" s="28"/>
      <c r="JF9" s="28"/>
      <c r="JG9" s="28"/>
      <c r="JH9" s="28"/>
      <c r="JI9" s="28"/>
      <c r="JJ9" s="28"/>
      <c r="JK9" s="28"/>
      <c r="JL9" s="28"/>
      <c r="JM9" s="28"/>
      <c r="JN9" s="28"/>
      <c r="JO9" s="28"/>
      <c r="JP9" s="28"/>
      <c r="JQ9" s="28"/>
      <c r="JR9" s="28"/>
      <c r="JS9" s="28"/>
      <c r="JT9" s="28"/>
      <c r="JU9" s="28"/>
      <c r="JV9" s="28"/>
      <c r="JW9" s="28"/>
    </row>
    <row r="10" spans="1:644" s="3" customFormat="1" ht="17.25" customHeight="1" x14ac:dyDescent="0.35">
      <c r="B10" s="28" t="str">
        <v>Regression Project</v>
      </c>
      <c r="C10" s="28" t="str">
        <v>Applied Mathematics</v>
      </c>
      <c r="D10" s="28" t="str">
        <v>Assignment</v>
      </c>
      <c r="E10" s="29">
        <v>46311</v>
      </c>
      <c r="F10" s="30">
        <v>6</v>
      </c>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c r="HL10" s="28"/>
      <c r="HM10" s="28"/>
      <c r="HN10" s="28"/>
      <c r="HO10" s="28"/>
      <c r="HP10" s="28"/>
      <c r="HQ10" s="28"/>
      <c r="HR10" s="28"/>
      <c r="HS10" s="28"/>
      <c r="HT10" s="28"/>
      <c r="HU10" s="28"/>
      <c r="HV10" s="28"/>
      <c r="HW10" s="28"/>
      <c r="HX10" s="28"/>
      <c r="HY10" s="28"/>
      <c r="HZ10" s="28"/>
      <c r="IA10" s="28"/>
      <c r="IB10" s="28"/>
      <c r="IC10" s="28"/>
      <c r="ID10" s="28"/>
      <c r="IE10" s="28"/>
      <c r="IF10" s="28"/>
      <c r="IG10" s="28"/>
      <c r="IH10" s="28"/>
      <c r="II10" s="28"/>
      <c r="IJ10" s="28"/>
      <c r="IK10" s="28"/>
      <c r="IL10" s="28"/>
      <c r="IM10" s="28"/>
      <c r="IN10" s="28"/>
      <c r="IO10" s="28"/>
      <c r="IP10" s="28"/>
      <c r="IQ10" s="28"/>
      <c r="IR10" s="28"/>
      <c r="IS10" s="28"/>
      <c r="IT10" s="28"/>
      <c r="IU10" s="28"/>
      <c r="IV10" s="28"/>
      <c r="IW10" s="28"/>
      <c r="IX10" s="28"/>
      <c r="IY10" s="28"/>
      <c r="IZ10" s="28"/>
      <c r="JA10" s="28"/>
      <c r="JB10" s="28"/>
      <c r="JC10" s="28"/>
      <c r="JD10" s="28"/>
      <c r="JE10" s="28"/>
      <c r="JF10" s="28"/>
      <c r="JG10" s="28"/>
      <c r="JH10" s="28"/>
      <c r="JI10" s="28"/>
      <c r="JJ10" s="28"/>
      <c r="JK10" s="28"/>
      <c r="JL10" s="28"/>
      <c r="JM10" s="28"/>
      <c r="JN10" s="28"/>
      <c r="JO10" s="28"/>
      <c r="JP10" s="28"/>
      <c r="JQ10" s="28"/>
      <c r="JR10" s="28"/>
      <c r="JS10" s="28"/>
      <c r="JT10" s="28"/>
      <c r="JU10" s="28"/>
      <c r="JV10" s="28"/>
      <c r="JW10" s="28"/>
    </row>
    <row r="11" spans="1:644" s="3" customFormat="1" ht="17.25" customHeight="1" x14ac:dyDescent="0.35">
      <c r="B11" s="28" t="str">
        <v>Gradient Descent Simulation</v>
      </c>
      <c r="C11" s="28" t="str">
        <v>Machine Learning</v>
      </c>
      <c r="D11" s="28" t="str">
        <v>Assignment</v>
      </c>
      <c r="E11" s="29">
        <v>46312</v>
      </c>
      <c r="F11" s="30">
        <v>6</v>
      </c>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c r="HL11" s="28"/>
      <c r="HM11" s="28"/>
      <c r="HN11" s="28"/>
      <c r="HO11" s="28"/>
      <c r="HP11" s="28"/>
      <c r="HQ11" s="28"/>
      <c r="HR11" s="28"/>
      <c r="HS11" s="28"/>
      <c r="HT11" s="28"/>
      <c r="HU11" s="28"/>
      <c r="HV11" s="28"/>
      <c r="HW11" s="28"/>
      <c r="HX11" s="28"/>
      <c r="HY11" s="28"/>
      <c r="HZ11" s="28"/>
      <c r="IA11" s="28"/>
      <c r="IB11" s="28"/>
      <c r="IC11" s="28"/>
      <c r="ID11" s="28"/>
      <c r="IE11" s="28"/>
      <c r="IF11" s="28"/>
      <c r="IG11" s="28"/>
      <c r="IH11" s="28"/>
      <c r="II11" s="28"/>
      <c r="IJ11" s="28"/>
      <c r="IK11" s="28"/>
      <c r="IL11" s="28"/>
      <c r="IM11" s="28"/>
      <c r="IN11" s="28"/>
      <c r="IO11" s="28"/>
      <c r="IP11" s="28"/>
      <c r="IQ11" s="28"/>
      <c r="IR11" s="28"/>
      <c r="IS11" s="28"/>
      <c r="IT11" s="28"/>
      <c r="IU11" s="28"/>
      <c r="IV11" s="28"/>
      <c r="IW11" s="28"/>
      <c r="IX11" s="28"/>
      <c r="IY11" s="28"/>
      <c r="IZ11" s="28"/>
      <c r="JA11" s="28"/>
      <c r="JB11" s="28"/>
      <c r="JC11" s="28"/>
      <c r="JD11" s="28"/>
      <c r="JE11" s="28"/>
      <c r="JF11" s="28"/>
      <c r="JG11" s="28"/>
      <c r="JH11" s="28"/>
      <c r="JI11" s="28"/>
      <c r="JJ11" s="28"/>
      <c r="JK11" s="28"/>
      <c r="JL11" s="28"/>
      <c r="JM11" s="28"/>
      <c r="JN11" s="28"/>
      <c r="JO11" s="28"/>
      <c r="JP11" s="28"/>
      <c r="JQ11" s="28"/>
      <c r="JR11" s="28"/>
      <c r="JS11" s="28"/>
      <c r="JT11" s="28"/>
      <c r="JU11" s="28"/>
      <c r="JV11" s="28"/>
      <c r="JW11" s="28"/>
    </row>
    <row r="12" spans="1:644" s="3" customFormat="1" ht="17.25" customHeight="1" x14ac:dyDescent="0.35">
      <c r="B12" s="28" t="str">
        <v>Data Structures Lab</v>
      </c>
      <c r="C12" s="28" t="str">
        <v>Algorithms</v>
      </c>
      <c r="D12" s="28" t="str">
        <v>Course Work</v>
      </c>
      <c r="E12" s="29">
        <v>46315</v>
      </c>
      <c r="F12" s="30">
        <v>4</v>
      </c>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c r="HL12" s="28"/>
      <c r="HM12" s="28"/>
      <c r="HN12" s="28"/>
      <c r="HO12" s="28"/>
      <c r="HP12" s="28"/>
      <c r="HQ12" s="28"/>
      <c r="HR12" s="28"/>
      <c r="HS12" s="28"/>
      <c r="HT12" s="28"/>
      <c r="HU12" s="28"/>
      <c r="HV12" s="28"/>
      <c r="HW12" s="28"/>
      <c r="HX12" s="28"/>
      <c r="HY12" s="28"/>
      <c r="HZ12" s="28"/>
      <c r="IA12" s="28"/>
      <c r="IB12" s="28"/>
      <c r="IC12" s="28"/>
      <c r="ID12" s="28"/>
      <c r="IE12" s="28"/>
      <c r="IF12" s="28"/>
      <c r="IG12" s="28"/>
      <c r="IH12" s="28"/>
      <c r="II12" s="28"/>
      <c r="IJ12" s="28"/>
      <c r="IK12" s="28"/>
      <c r="IL12" s="28"/>
      <c r="IM12" s="28"/>
      <c r="IN12" s="28"/>
      <c r="IO12" s="28"/>
      <c r="IP12" s="28"/>
      <c r="IQ12" s="28"/>
      <c r="IR12" s="28"/>
      <c r="IS12" s="28"/>
      <c r="IT12" s="28"/>
      <c r="IU12" s="28"/>
      <c r="IV12" s="28"/>
      <c r="IW12" s="28"/>
      <c r="IX12" s="28"/>
      <c r="IY12" s="28"/>
      <c r="IZ12" s="28"/>
      <c r="JA12" s="28"/>
      <c r="JB12" s="28"/>
      <c r="JC12" s="28"/>
      <c r="JD12" s="28"/>
      <c r="JE12" s="28"/>
      <c r="JF12" s="28"/>
      <c r="JG12" s="28"/>
      <c r="JH12" s="28"/>
      <c r="JI12" s="28"/>
      <c r="JJ12" s="28"/>
      <c r="JK12" s="28"/>
      <c r="JL12" s="28"/>
      <c r="JM12" s="28"/>
      <c r="JN12" s="28"/>
      <c r="JO12" s="28"/>
      <c r="JP12" s="28"/>
      <c r="JQ12" s="28"/>
      <c r="JR12" s="28"/>
      <c r="JS12" s="28"/>
      <c r="JT12" s="28"/>
      <c r="JU12" s="28"/>
      <c r="JV12" s="28"/>
      <c r="JW12" s="28"/>
    </row>
    <row r="13" spans="1:644" s="3" customFormat="1" ht="17.25" customHeight="1" x14ac:dyDescent="0.35">
      <c r="B13" s="28" t="str">
        <v>Probability Assignment 2</v>
      </c>
      <c r="C13" s="28" t="str">
        <v>Statistics</v>
      </c>
      <c r="D13" s="28" t="str">
        <v>Assignment</v>
      </c>
      <c r="E13" s="29">
        <v>46316</v>
      </c>
      <c r="F13" s="30">
        <v>4</v>
      </c>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c r="HL13" s="28"/>
      <c r="HM13" s="28"/>
      <c r="HN13" s="28"/>
      <c r="HO13" s="28"/>
      <c r="HP13" s="28"/>
      <c r="HQ13" s="28"/>
      <c r="HR13" s="28"/>
      <c r="HS13" s="28"/>
      <c r="HT13" s="28"/>
      <c r="HU13" s="28"/>
      <c r="HV13" s="28"/>
      <c r="HW13" s="28"/>
      <c r="HX13" s="28"/>
      <c r="HY13" s="28"/>
      <c r="HZ13" s="28"/>
      <c r="IA13" s="28"/>
      <c r="IB13" s="28"/>
      <c r="IC13" s="28"/>
      <c r="ID13" s="28"/>
      <c r="IE13" s="28"/>
      <c r="IF13" s="28"/>
      <c r="IG13" s="28"/>
      <c r="IH13" s="28"/>
      <c r="II13" s="28"/>
      <c r="IJ13" s="28"/>
      <c r="IK13" s="28"/>
      <c r="IL13" s="28"/>
      <c r="IM13" s="28"/>
      <c r="IN13" s="28"/>
      <c r="IO13" s="28"/>
      <c r="IP13" s="28"/>
      <c r="IQ13" s="28"/>
      <c r="IR13" s="28"/>
      <c r="IS13" s="28"/>
      <c r="IT13" s="28"/>
      <c r="IU13" s="28"/>
      <c r="IV13" s="28"/>
      <c r="IW13" s="28"/>
      <c r="IX13" s="28"/>
      <c r="IY13" s="28"/>
      <c r="IZ13" s="28"/>
      <c r="JA13" s="28"/>
      <c r="JB13" s="28"/>
      <c r="JC13" s="28"/>
      <c r="JD13" s="28"/>
      <c r="JE13" s="28"/>
      <c r="JF13" s="28"/>
      <c r="JG13" s="28"/>
      <c r="JH13" s="28"/>
      <c r="JI13" s="28"/>
      <c r="JJ13" s="28"/>
      <c r="JK13" s="28"/>
      <c r="JL13" s="28"/>
      <c r="JM13" s="28"/>
      <c r="JN13" s="28"/>
      <c r="JO13" s="28"/>
      <c r="JP13" s="28"/>
      <c r="JQ13" s="28"/>
      <c r="JR13" s="28"/>
      <c r="JS13" s="28"/>
      <c r="JT13" s="28"/>
      <c r="JU13" s="28"/>
      <c r="JV13" s="28"/>
      <c r="JW13" s="28"/>
    </row>
    <row r="14" spans="1:644" s="3" customFormat="1" ht="17.25" customHeight="1" x14ac:dyDescent="0.35">
      <c r="B14" s="28" t="str">
        <v>Security Vulnerabilities Report</v>
      </c>
      <c r="C14" s="28" t="str">
        <v>Cyber Security</v>
      </c>
      <c r="D14" s="28" t="str">
        <v>Assignment</v>
      </c>
      <c r="E14" s="29">
        <v>46317</v>
      </c>
      <c r="F14" s="30">
        <v>5</v>
      </c>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c r="HL14" s="28"/>
      <c r="HM14" s="28"/>
      <c r="HN14" s="28"/>
      <c r="HO14" s="28"/>
      <c r="HP14" s="28"/>
      <c r="HQ14" s="28"/>
      <c r="HR14" s="28"/>
      <c r="HS14" s="28"/>
      <c r="HT14" s="28"/>
      <c r="HU14" s="28"/>
      <c r="HV14" s="28"/>
      <c r="HW14" s="28"/>
      <c r="HX14" s="28"/>
      <c r="HY14" s="28"/>
      <c r="HZ14" s="28"/>
      <c r="IA14" s="28"/>
      <c r="IB14" s="28"/>
      <c r="IC14" s="28"/>
      <c r="ID14" s="28"/>
      <c r="IE14" s="28"/>
      <c r="IF14" s="28"/>
      <c r="IG14" s="28"/>
      <c r="IH14" s="28"/>
      <c r="II14" s="28"/>
      <c r="IJ14" s="28"/>
      <c r="IK14" s="28"/>
      <c r="IL14" s="28"/>
      <c r="IM14" s="28"/>
      <c r="IN14" s="28"/>
      <c r="IO14" s="28"/>
      <c r="IP14" s="28"/>
      <c r="IQ14" s="28"/>
      <c r="IR14" s="28"/>
      <c r="IS14" s="28"/>
      <c r="IT14" s="28"/>
      <c r="IU14" s="28"/>
      <c r="IV14" s="28"/>
      <c r="IW14" s="28"/>
      <c r="IX14" s="28"/>
      <c r="IY14" s="28"/>
      <c r="IZ14" s="28"/>
      <c r="JA14" s="28"/>
      <c r="JB14" s="28"/>
      <c r="JC14" s="28"/>
      <c r="JD14" s="28"/>
      <c r="JE14" s="28"/>
      <c r="JF14" s="28"/>
      <c r="JG14" s="28"/>
      <c r="JH14" s="28"/>
      <c r="JI14" s="28"/>
      <c r="JJ14" s="28"/>
      <c r="JK14" s="28"/>
      <c r="JL14" s="28"/>
      <c r="JM14" s="28"/>
      <c r="JN14" s="28"/>
      <c r="JO14" s="28"/>
      <c r="JP14" s="28"/>
      <c r="JQ14" s="28"/>
      <c r="JR14" s="28"/>
      <c r="JS14" s="28"/>
      <c r="JT14" s="28"/>
      <c r="JU14" s="28"/>
      <c r="JV14" s="28"/>
      <c r="JW14" s="28"/>
    </row>
    <row r="15" spans="1:644" s="3" customFormat="1" ht="17.25" customHeight="1" x14ac:dyDescent="0.35">
      <c r="B15" s="28" t="str">
        <v>Recurrence Relations Quiz</v>
      </c>
      <c r="C15" s="28" t="str">
        <v>Discrete Mathematics</v>
      </c>
      <c r="D15" s="28" t="str">
        <v>Exam</v>
      </c>
      <c r="E15" s="29">
        <v>46318</v>
      </c>
      <c r="F15" s="30">
        <v>2</v>
      </c>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c r="HL15" s="28"/>
      <c r="HM15" s="28"/>
      <c r="HN15" s="28"/>
      <c r="HO15" s="28"/>
      <c r="HP15" s="28"/>
      <c r="HQ15" s="28"/>
      <c r="HR15" s="28"/>
      <c r="HS15" s="28"/>
      <c r="HT15" s="28"/>
      <c r="HU15" s="28"/>
      <c r="HV15" s="28"/>
      <c r="HW15" s="28"/>
      <c r="HX15" s="28"/>
      <c r="HY15" s="28"/>
      <c r="HZ15" s="28"/>
      <c r="IA15" s="28"/>
      <c r="IB15" s="28"/>
      <c r="IC15" s="28"/>
      <c r="ID15" s="28"/>
      <c r="IE15" s="28"/>
      <c r="IF15" s="28"/>
      <c r="IG15" s="28"/>
      <c r="IH15" s="28"/>
      <c r="II15" s="28"/>
      <c r="IJ15" s="28"/>
      <c r="IK15" s="28"/>
      <c r="IL15" s="28"/>
      <c r="IM15" s="28"/>
      <c r="IN15" s="28"/>
      <c r="IO15" s="28"/>
      <c r="IP15" s="28"/>
      <c r="IQ15" s="28"/>
      <c r="IR15" s="28"/>
      <c r="IS15" s="28"/>
      <c r="IT15" s="28"/>
      <c r="IU15" s="28"/>
      <c r="IV15" s="28"/>
      <c r="IW15" s="28"/>
      <c r="IX15" s="28"/>
      <c r="IY15" s="28"/>
      <c r="IZ15" s="28"/>
      <c r="JA15" s="28"/>
      <c r="JB15" s="28"/>
      <c r="JC15" s="28"/>
      <c r="JD15" s="28"/>
      <c r="JE15" s="28"/>
      <c r="JF15" s="28"/>
      <c r="JG15" s="28"/>
      <c r="JH15" s="28"/>
      <c r="JI15" s="28"/>
      <c r="JJ15" s="28"/>
      <c r="JK15" s="28"/>
      <c r="JL15" s="28"/>
      <c r="JM15" s="28"/>
      <c r="JN15" s="28"/>
      <c r="JO15" s="28"/>
      <c r="JP15" s="28"/>
      <c r="JQ15" s="28"/>
      <c r="JR15" s="28"/>
      <c r="JS15" s="28"/>
      <c r="JT15" s="28"/>
      <c r="JU15" s="28"/>
      <c r="JV15" s="28"/>
      <c r="JW15" s="28"/>
    </row>
    <row r="16" spans="1:644" s="3" customFormat="1" ht="17.25" customHeight="1" x14ac:dyDescent="0.35">
      <c r="B16" s="28" t="str">
        <v>Multivariable Optimization</v>
      </c>
      <c r="C16" s="28" t="str">
        <v>Multivariate Calculus</v>
      </c>
      <c r="D16" s="28" t="str">
        <v>Course Work</v>
      </c>
      <c r="E16" s="29">
        <v>46322</v>
      </c>
      <c r="F16" s="30">
        <v>4</v>
      </c>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c r="IN16" s="28"/>
      <c r="IO16" s="28"/>
      <c r="IP16" s="28"/>
      <c r="IQ16" s="28"/>
      <c r="IR16" s="28"/>
      <c r="IS16" s="28"/>
      <c r="IT16" s="28"/>
      <c r="IU16" s="28"/>
      <c r="IV16" s="28"/>
      <c r="IW16" s="28"/>
      <c r="IX16" s="28"/>
      <c r="IY16" s="28"/>
      <c r="IZ16" s="28"/>
      <c r="JA16" s="28"/>
      <c r="JB16" s="28"/>
      <c r="JC16" s="28"/>
      <c r="JD16" s="28"/>
      <c r="JE16" s="28"/>
      <c r="JF16" s="28"/>
      <c r="JG16" s="28"/>
      <c r="JH16" s="28"/>
      <c r="JI16" s="28"/>
      <c r="JJ16" s="28"/>
      <c r="JK16" s="28"/>
      <c r="JL16" s="28"/>
      <c r="JM16" s="28"/>
      <c r="JN16" s="28"/>
      <c r="JO16" s="28"/>
      <c r="JP16" s="28"/>
      <c r="JQ16" s="28"/>
      <c r="JR16" s="28"/>
      <c r="JS16" s="28"/>
      <c r="JT16" s="28"/>
      <c r="JU16" s="28"/>
      <c r="JV16" s="28"/>
      <c r="JW16" s="28"/>
    </row>
    <row r="17" spans="2:283" s="3" customFormat="1" ht="17.25" customHeight="1" x14ac:dyDescent="0.35">
      <c r="B17" s="28" t="str">
        <v>Integration Techniques</v>
      </c>
      <c r="C17" s="28" t="str">
        <v>Calculus</v>
      </c>
      <c r="D17" s="28" t="str">
        <v>Course Work</v>
      </c>
      <c r="E17" s="29">
        <v>46323</v>
      </c>
      <c r="F17" s="30">
        <v>3</v>
      </c>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c r="IF17" s="28"/>
      <c r="IG17" s="28"/>
      <c r="IH17" s="28"/>
      <c r="II17" s="28"/>
      <c r="IJ17" s="28"/>
      <c r="IK17" s="28"/>
      <c r="IL17" s="28"/>
      <c r="IM17" s="28"/>
      <c r="IN17" s="28"/>
      <c r="IO17" s="28"/>
      <c r="IP17" s="28"/>
      <c r="IQ17" s="28"/>
      <c r="IR17" s="28"/>
      <c r="IS17" s="28"/>
      <c r="IT17" s="28"/>
      <c r="IU17" s="28"/>
      <c r="IV17" s="28"/>
      <c r="IW17" s="28"/>
      <c r="IX17" s="28"/>
      <c r="IY17" s="28"/>
      <c r="IZ17" s="28"/>
      <c r="JA17" s="28"/>
      <c r="JB17" s="28"/>
      <c r="JC17" s="28"/>
      <c r="JD17" s="28"/>
      <c r="JE17" s="28"/>
      <c r="JF17" s="28"/>
      <c r="JG17" s="28"/>
      <c r="JH17" s="28"/>
      <c r="JI17" s="28"/>
      <c r="JJ17" s="28"/>
      <c r="JK17" s="28"/>
      <c r="JL17" s="28"/>
      <c r="JM17" s="28"/>
      <c r="JN17" s="28"/>
      <c r="JO17" s="28"/>
      <c r="JP17" s="28"/>
      <c r="JQ17" s="28"/>
      <c r="JR17" s="28"/>
      <c r="JS17" s="28"/>
      <c r="JT17" s="28"/>
      <c r="JU17" s="28"/>
      <c r="JV17" s="28"/>
      <c r="JW17" s="28"/>
    </row>
    <row r="18" spans="2:283" s="3" customFormat="1" ht="17.25" customHeight="1" x14ac:dyDescent="0.35">
      <c r="B18" s="28" t="str">
        <v>Compiler Construction Notes</v>
      </c>
      <c r="C18" s="28" t="str">
        <v>Theory of Computing</v>
      </c>
      <c r="D18" s="28" t="str">
        <v>Assignment</v>
      </c>
      <c r="E18" s="29">
        <v>46324</v>
      </c>
      <c r="F18" s="30">
        <v>5</v>
      </c>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c r="HL18" s="28"/>
      <c r="HM18" s="28"/>
      <c r="HN18" s="28"/>
      <c r="HO18" s="28"/>
      <c r="HP18" s="28"/>
      <c r="HQ18" s="28"/>
      <c r="HR18" s="28"/>
      <c r="HS18" s="28"/>
      <c r="HT18" s="28"/>
      <c r="HU18" s="28"/>
      <c r="HV18" s="28"/>
      <c r="HW18" s="28"/>
      <c r="HX18" s="28"/>
      <c r="HY18" s="28"/>
      <c r="HZ18" s="28"/>
      <c r="IA18" s="28"/>
      <c r="IB18" s="28"/>
      <c r="IC18" s="28"/>
      <c r="ID18" s="28"/>
      <c r="IE18" s="28"/>
      <c r="IF18" s="28"/>
      <c r="IG18" s="28"/>
      <c r="IH18" s="28"/>
      <c r="II18" s="28"/>
      <c r="IJ18" s="28"/>
      <c r="IK18" s="28"/>
      <c r="IL18" s="28"/>
      <c r="IM18" s="28"/>
      <c r="IN18" s="28"/>
      <c r="IO18" s="28"/>
      <c r="IP18" s="28"/>
      <c r="IQ18" s="28"/>
      <c r="IR18" s="28"/>
      <c r="IS18" s="28"/>
      <c r="IT18" s="28"/>
      <c r="IU18" s="28"/>
      <c r="IV18" s="28"/>
      <c r="IW18" s="28"/>
      <c r="IX18" s="28"/>
      <c r="IY18" s="28"/>
      <c r="IZ18" s="28"/>
      <c r="JA18" s="28"/>
      <c r="JB18" s="28"/>
      <c r="JC18" s="28"/>
      <c r="JD18" s="28"/>
      <c r="JE18" s="28"/>
      <c r="JF18" s="28"/>
      <c r="JG18" s="28"/>
      <c r="JH18" s="28"/>
      <c r="JI18" s="28"/>
      <c r="JJ18" s="28"/>
      <c r="JK18" s="28"/>
      <c r="JL18" s="28"/>
      <c r="JM18" s="28"/>
      <c r="JN18" s="28"/>
      <c r="JO18" s="28"/>
      <c r="JP18" s="28"/>
      <c r="JQ18" s="28"/>
      <c r="JR18" s="28"/>
      <c r="JS18" s="28"/>
      <c r="JT18" s="28"/>
      <c r="JU18" s="28"/>
      <c r="JV18" s="28"/>
      <c r="JW18" s="28"/>
    </row>
    <row r="19" spans="2:283" s="3" customFormat="1" ht="17.25" customHeight="1" x14ac:dyDescent="0.35">
      <c r="B19" s="28" t="str">
        <v>Matrix Transformations Lab</v>
      </c>
      <c r="C19" s="28" t="str">
        <v>Linear Algebra</v>
      </c>
      <c r="D19" s="28" t="str">
        <v>Course Work</v>
      </c>
      <c r="E19" s="29">
        <v>46325</v>
      </c>
      <c r="F19" s="30">
        <v>4</v>
      </c>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c r="HL19" s="28"/>
      <c r="HM19" s="28"/>
      <c r="HN19" s="28"/>
      <c r="HO19" s="28"/>
      <c r="HP19" s="28"/>
      <c r="HQ19" s="28"/>
      <c r="HR19" s="28"/>
      <c r="HS19" s="28"/>
      <c r="HT19" s="28"/>
      <c r="HU19" s="28"/>
      <c r="HV19" s="28"/>
      <c r="HW19" s="28"/>
      <c r="HX19" s="28"/>
      <c r="HY19" s="28"/>
      <c r="HZ19" s="28"/>
      <c r="IA19" s="28"/>
      <c r="IB19" s="28"/>
      <c r="IC19" s="28"/>
      <c r="ID19" s="28"/>
      <c r="IE19" s="28"/>
      <c r="IF19" s="28"/>
      <c r="IG19" s="28"/>
      <c r="IH19" s="28"/>
      <c r="II19" s="28"/>
      <c r="IJ19" s="28"/>
      <c r="IK19" s="28"/>
      <c r="IL19" s="28"/>
      <c r="IM19" s="28"/>
      <c r="IN19" s="28"/>
      <c r="IO19" s="28"/>
      <c r="IP19" s="28"/>
      <c r="IQ19" s="28"/>
      <c r="IR19" s="28"/>
      <c r="IS19" s="28"/>
      <c r="IT19" s="28"/>
      <c r="IU19" s="28"/>
      <c r="IV19" s="28"/>
      <c r="IW19" s="28"/>
      <c r="IX19" s="28"/>
      <c r="IY19" s="28"/>
      <c r="IZ19" s="28"/>
      <c r="JA19" s="28"/>
      <c r="JB19" s="28"/>
      <c r="JC19" s="28"/>
      <c r="JD19" s="28"/>
      <c r="JE19" s="28"/>
      <c r="JF19" s="28"/>
      <c r="JG19" s="28"/>
      <c r="JH19" s="28"/>
      <c r="JI19" s="28"/>
      <c r="JJ19" s="28"/>
      <c r="JK19" s="28"/>
      <c r="JL19" s="28"/>
      <c r="JM19" s="28"/>
      <c r="JN19" s="28"/>
      <c r="JO19" s="28"/>
      <c r="JP19" s="28"/>
      <c r="JQ19" s="28"/>
      <c r="JR19" s="28"/>
      <c r="JS19" s="28"/>
      <c r="JT19" s="28"/>
      <c r="JU19" s="28"/>
      <c r="JV19" s="28"/>
      <c r="JW19" s="28"/>
    </row>
    <row r="20" spans="2:283" s="3" customFormat="1" ht="17.25" customHeight="1" x14ac:dyDescent="0.35">
      <c r="B20" s="28" t="str">
        <v>Encryption Algorithms</v>
      </c>
      <c r="C20" s="28" t="str">
        <v>Cyber Security</v>
      </c>
      <c r="D20" s="28" t="str">
        <v>Exam</v>
      </c>
      <c r="E20" s="29">
        <v>46329</v>
      </c>
      <c r="F20" s="30">
        <v>3</v>
      </c>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c r="HL20" s="28"/>
      <c r="HM20" s="28"/>
      <c r="HN20" s="28"/>
      <c r="HO20" s="28"/>
      <c r="HP20" s="28"/>
      <c r="HQ20" s="28"/>
      <c r="HR20" s="28"/>
      <c r="HS20" s="28"/>
      <c r="HT20" s="28"/>
      <c r="HU20" s="28"/>
      <c r="HV20" s="28"/>
      <c r="HW20" s="28"/>
      <c r="HX20" s="28"/>
      <c r="HY20" s="28"/>
      <c r="HZ20" s="28"/>
      <c r="IA20" s="28"/>
      <c r="IB20" s="28"/>
      <c r="IC20" s="28"/>
      <c r="ID20" s="28"/>
      <c r="IE20" s="28"/>
      <c r="IF20" s="28"/>
      <c r="IG20" s="28"/>
      <c r="IH20" s="28"/>
      <c r="II20" s="28"/>
      <c r="IJ20" s="28"/>
      <c r="IK20" s="28"/>
      <c r="IL20" s="28"/>
      <c r="IM20" s="28"/>
      <c r="IN20" s="28"/>
      <c r="IO20" s="28"/>
      <c r="IP20" s="28"/>
      <c r="IQ20" s="28"/>
      <c r="IR20" s="28"/>
      <c r="IS20" s="28"/>
      <c r="IT20" s="28"/>
      <c r="IU20" s="28"/>
      <c r="IV20" s="28"/>
      <c r="IW20" s="28"/>
      <c r="IX20" s="28"/>
      <c r="IY20" s="28"/>
      <c r="IZ20" s="28"/>
      <c r="JA20" s="28"/>
      <c r="JB20" s="28"/>
      <c r="JC20" s="28"/>
      <c r="JD20" s="28"/>
      <c r="JE20" s="28"/>
      <c r="JF20" s="28"/>
      <c r="JG20" s="28"/>
      <c r="JH20" s="28"/>
      <c r="JI20" s="28"/>
      <c r="JJ20" s="28"/>
      <c r="JK20" s="28"/>
      <c r="JL20" s="28"/>
      <c r="JM20" s="28"/>
      <c r="JN20" s="28"/>
      <c r="JO20" s="28"/>
      <c r="JP20" s="28"/>
      <c r="JQ20" s="28"/>
      <c r="JR20" s="28"/>
      <c r="JS20" s="28"/>
      <c r="JT20" s="28"/>
      <c r="JU20" s="28"/>
      <c r="JV20" s="28"/>
      <c r="JW20" s="28"/>
    </row>
    <row r="21" spans="2:283" s="3" customFormat="1" ht="17.25" customHeight="1" x14ac:dyDescent="0.35">
      <c r="B21" s="28" t="str">
        <v>Database Design Exam</v>
      </c>
      <c r="C21" s="28" t="str">
        <v>Information Systems</v>
      </c>
      <c r="D21" s="28" t="str">
        <v>Exam</v>
      </c>
      <c r="E21" s="29">
        <v>46330</v>
      </c>
      <c r="F21" s="30">
        <v>3</v>
      </c>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c r="HL21" s="28"/>
      <c r="HM21" s="28"/>
      <c r="HN21" s="28"/>
      <c r="HO21" s="28"/>
      <c r="HP21" s="28"/>
      <c r="HQ21" s="28"/>
      <c r="HR21" s="28"/>
      <c r="HS21" s="28"/>
      <c r="HT21" s="28"/>
      <c r="HU21" s="28"/>
      <c r="HV21" s="28"/>
      <c r="HW21" s="28"/>
      <c r="HX21" s="28"/>
      <c r="HY21" s="28"/>
      <c r="HZ21" s="28"/>
      <c r="IA21" s="28"/>
      <c r="IB21" s="28"/>
      <c r="IC21" s="28"/>
      <c r="ID21" s="28"/>
      <c r="IE21" s="28"/>
      <c r="IF21" s="28"/>
      <c r="IG21" s="28"/>
      <c r="IH21" s="28"/>
      <c r="II21" s="28"/>
      <c r="IJ21" s="28"/>
      <c r="IK21" s="28"/>
      <c r="IL21" s="28"/>
      <c r="IM21" s="28"/>
      <c r="IN21" s="28"/>
      <c r="IO21" s="28"/>
      <c r="IP21" s="28"/>
      <c r="IQ21" s="28"/>
      <c r="IR21" s="28"/>
      <c r="IS21" s="28"/>
      <c r="IT21" s="28"/>
      <c r="IU21" s="28"/>
      <c r="IV21" s="28"/>
      <c r="IW21" s="28"/>
      <c r="IX21" s="28"/>
      <c r="IY21" s="28"/>
      <c r="IZ21" s="28"/>
      <c r="JA21" s="28"/>
      <c r="JB21" s="28"/>
      <c r="JC21" s="28"/>
      <c r="JD21" s="28"/>
      <c r="JE21" s="28"/>
      <c r="JF21" s="28"/>
      <c r="JG21" s="28"/>
      <c r="JH21" s="28"/>
      <c r="JI21" s="28"/>
      <c r="JJ21" s="28"/>
      <c r="JK21" s="28"/>
      <c r="JL21" s="28"/>
      <c r="JM21" s="28"/>
      <c r="JN21" s="28"/>
      <c r="JO21" s="28"/>
      <c r="JP21" s="28"/>
      <c r="JQ21" s="28"/>
      <c r="JR21" s="28"/>
      <c r="JS21" s="28"/>
      <c r="JT21" s="28"/>
      <c r="JU21" s="28"/>
      <c r="JV21" s="28"/>
      <c r="JW21" s="28"/>
    </row>
    <row r="22" spans="2:283" s="3" customFormat="1" ht="17.25" customHeight="1" x14ac:dyDescent="0.35">
      <c r="B22" s="28" t="str">
        <v>Project Capstone Brief</v>
      </c>
      <c r="C22" s="28" t="str">
        <v>Software Engineering</v>
      </c>
      <c r="D22" s="28" t="str">
        <v>Assignment</v>
      </c>
      <c r="E22" s="29">
        <v>46332</v>
      </c>
      <c r="F22" s="30">
        <v>8</v>
      </c>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c r="HL22" s="28"/>
      <c r="HM22" s="28"/>
      <c r="HN22" s="28"/>
      <c r="HO22" s="28"/>
      <c r="HP22" s="28"/>
      <c r="HQ22" s="28"/>
      <c r="HR22" s="28"/>
      <c r="HS22" s="28"/>
      <c r="HT22" s="28"/>
      <c r="HU22" s="28"/>
      <c r="HV22" s="28"/>
      <c r="HW22" s="28"/>
      <c r="HX22" s="28"/>
      <c r="HY22" s="28"/>
      <c r="HZ22" s="28"/>
      <c r="IA22" s="28"/>
      <c r="IB22" s="28"/>
      <c r="IC22" s="28"/>
      <c r="ID22" s="28"/>
      <c r="IE22" s="28"/>
      <c r="IF22" s="28"/>
      <c r="IG22" s="28"/>
      <c r="IH22" s="28"/>
      <c r="II22" s="28"/>
      <c r="IJ22" s="28"/>
      <c r="IK22" s="28"/>
      <c r="IL22" s="28"/>
      <c r="IM22" s="28"/>
      <c r="IN22" s="28"/>
      <c r="IO22" s="28"/>
      <c r="IP22" s="28"/>
      <c r="IQ22" s="28"/>
      <c r="IR22" s="28"/>
      <c r="IS22" s="28"/>
      <c r="IT22" s="28"/>
      <c r="IU22" s="28"/>
      <c r="IV22" s="28"/>
      <c r="IW22" s="28"/>
      <c r="IX22" s="28"/>
      <c r="IY22" s="28"/>
      <c r="IZ22" s="28"/>
      <c r="JA22" s="28"/>
      <c r="JB22" s="28"/>
      <c r="JC22" s="28"/>
      <c r="JD22" s="28"/>
      <c r="JE22" s="28"/>
      <c r="JF22" s="28"/>
      <c r="JG22" s="28"/>
      <c r="JH22" s="28"/>
      <c r="JI22" s="28"/>
      <c r="JJ22" s="28"/>
      <c r="JK22" s="28"/>
      <c r="JL22" s="28"/>
      <c r="JM22" s="28"/>
      <c r="JN22" s="28"/>
      <c r="JO22" s="28"/>
      <c r="JP22" s="28"/>
      <c r="JQ22" s="28"/>
      <c r="JR22" s="28"/>
      <c r="JS22" s="28"/>
      <c r="JT22" s="28"/>
      <c r="JU22" s="28"/>
      <c r="JV22" s="28"/>
      <c r="JW22" s="28"/>
    </row>
    <row r="23" spans="2:283" s="3" customFormat="1" ht="17.25" customHeight="1" x14ac:dyDescent="0.35">
      <c r="B23" s="28" t="str">
        <v>Neural Networks Midterm</v>
      </c>
      <c r="C23" s="28" t="str">
        <v>Artificial Intelligence</v>
      </c>
      <c r="D23" s="28" t="str">
        <v>Exam</v>
      </c>
      <c r="E23" s="29">
        <v>46339</v>
      </c>
      <c r="F23" s="30">
        <v>3</v>
      </c>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c r="HL23" s="28"/>
      <c r="HM23" s="28"/>
      <c r="HN23" s="28"/>
      <c r="HO23" s="28"/>
      <c r="HP23" s="28"/>
      <c r="HQ23" s="28"/>
      <c r="HR23" s="28"/>
      <c r="HS23" s="28"/>
      <c r="HT23" s="28"/>
      <c r="HU23" s="28"/>
      <c r="HV23" s="28"/>
      <c r="HW23" s="28"/>
      <c r="HX23" s="28"/>
      <c r="HY23" s="28"/>
      <c r="HZ23" s="28"/>
      <c r="IA23" s="28"/>
      <c r="IB23" s="28"/>
      <c r="IC23" s="28"/>
      <c r="ID23" s="28"/>
      <c r="IE23" s="28"/>
      <c r="IF23" s="28"/>
      <c r="IG23" s="28"/>
      <c r="IH23" s="28"/>
      <c r="II23" s="28"/>
      <c r="IJ23" s="28"/>
      <c r="IK23" s="28"/>
      <c r="IL23" s="28"/>
      <c r="IM23" s="28"/>
      <c r="IN23" s="28"/>
      <c r="IO23" s="28"/>
      <c r="IP23" s="28"/>
      <c r="IQ23" s="28"/>
      <c r="IR23" s="28"/>
      <c r="IS23" s="28"/>
      <c r="IT23" s="28"/>
      <c r="IU23" s="28"/>
      <c r="IV23" s="28"/>
      <c r="IW23" s="28"/>
      <c r="IX23" s="28"/>
      <c r="IY23" s="28"/>
      <c r="IZ23" s="28"/>
      <c r="JA23" s="28"/>
      <c r="JB23" s="28"/>
      <c r="JC23" s="28"/>
      <c r="JD23" s="28"/>
      <c r="JE23" s="28"/>
      <c r="JF23" s="28"/>
      <c r="JG23" s="28"/>
      <c r="JH23" s="28"/>
      <c r="JI23" s="28"/>
      <c r="JJ23" s="28"/>
      <c r="JK23" s="28"/>
      <c r="JL23" s="28"/>
      <c r="JM23" s="28"/>
      <c r="JN23" s="28"/>
      <c r="JO23" s="28"/>
      <c r="JP23" s="28"/>
      <c r="JQ23" s="28"/>
      <c r="JR23" s="28"/>
      <c r="JS23" s="28"/>
      <c r="JT23" s="28"/>
      <c r="JU23" s="28"/>
      <c r="JV23" s="28"/>
      <c r="JW23" s="28"/>
    </row>
    <row r="24" spans="2:283" s="3" customFormat="1" ht="17.25" customHeight="1" x14ac:dyDescent="0.35">
      <c r="B24" s="28" t="str">
        <v>Statistical Inference Exam</v>
      </c>
      <c r="C24" s="28" t="str">
        <v>Statistics</v>
      </c>
      <c r="D24" s="28" t="str">
        <v>Exam</v>
      </c>
      <c r="E24" s="29">
        <v>46343</v>
      </c>
      <c r="F24" s="30">
        <v>3</v>
      </c>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c r="HL24" s="28"/>
      <c r="HM24" s="28"/>
      <c r="HN24" s="28"/>
      <c r="HO24" s="28"/>
      <c r="HP24" s="28"/>
      <c r="HQ24" s="28"/>
      <c r="HR24" s="28"/>
      <c r="HS24" s="28"/>
      <c r="HT24" s="28"/>
      <c r="HU24" s="28"/>
      <c r="HV24" s="28"/>
      <c r="HW24" s="28"/>
      <c r="HX24" s="28"/>
      <c r="HY24" s="28"/>
      <c r="HZ24" s="28"/>
      <c r="IA24" s="28"/>
      <c r="IB24" s="28"/>
      <c r="IC24" s="28"/>
      <c r="ID24" s="28"/>
      <c r="IE24" s="28"/>
      <c r="IF24" s="28"/>
      <c r="IG24" s="28"/>
      <c r="IH24" s="28"/>
      <c r="II24" s="28"/>
      <c r="IJ24" s="28"/>
      <c r="IK24" s="28"/>
      <c r="IL24" s="28"/>
      <c r="IM24" s="28"/>
      <c r="IN24" s="28"/>
      <c r="IO24" s="28"/>
      <c r="IP24" s="28"/>
      <c r="IQ24" s="28"/>
      <c r="IR24" s="28"/>
      <c r="IS24" s="28"/>
      <c r="IT24" s="28"/>
      <c r="IU24" s="28"/>
      <c r="IV24" s="28"/>
      <c r="IW24" s="28"/>
      <c r="IX24" s="28"/>
      <c r="IY24" s="28"/>
      <c r="IZ24" s="28"/>
      <c r="JA24" s="28"/>
      <c r="JB24" s="28"/>
      <c r="JC24" s="28"/>
      <c r="JD24" s="28"/>
      <c r="JE24" s="28"/>
      <c r="JF24" s="28"/>
      <c r="JG24" s="28"/>
      <c r="JH24" s="28"/>
      <c r="JI24" s="28"/>
      <c r="JJ24" s="28"/>
      <c r="JK24" s="28"/>
      <c r="JL24" s="28"/>
      <c r="JM24" s="28"/>
      <c r="JN24" s="28"/>
      <c r="JO24" s="28"/>
      <c r="JP24" s="28"/>
      <c r="JQ24" s="28"/>
      <c r="JR24" s="28"/>
      <c r="JS24" s="28"/>
      <c r="JT24" s="28"/>
      <c r="JU24" s="28"/>
      <c r="JV24" s="28"/>
      <c r="JW24" s="28"/>
    </row>
    <row r="25" spans="2:283" s="3" customFormat="1" ht="17.25" customHeight="1" x14ac:dyDescent="0.35">
      <c r="B25" s="28" t="str">
        <v>Software Design Principles</v>
      </c>
      <c r="C25" s="28" t="str">
        <v>Software Engineering</v>
      </c>
      <c r="D25" s="28" t="str">
        <v>Course Work</v>
      </c>
      <c r="E25" s="29">
        <v>46355</v>
      </c>
      <c r="F25" s="30">
        <v>4</v>
      </c>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c r="HL25" s="28"/>
      <c r="HM25" s="28"/>
      <c r="HN25" s="28"/>
      <c r="HO25" s="28"/>
      <c r="HP25" s="28"/>
      <c r="HQ25" s="28"/>
      <c r="HR25" s="28"/>
      <c r="HS25" s="28"/>
      <c r="HT25" s="28"/>
      <c r="HU25" s="28"/>
      <c r="HV25" s="28"/>
      <c r="HW25" s="28"/>
      <c r="HX25" s="28"/>
      <c r="HY25" s="28"/>
      <c r="HZ25" s="28"/>
      <c r="IA25" s="28"/>
      <c r="IB25" s="28"/>
      <c r="IC25" s="28"/>
      <c r="ID25" s="28"/>
      <c r="IE25" s="28"/>
      <c r="IF25" s="28"/>
      <c r="IG25" s="28"/>
      <c r="IH25" s="28"/>
      <c r="II25" s="28"/>
      <c r="IJ25" s="28"/>
      <c r="IK25" s="28"/>
      <c r="IL25" s="28"/>
      <c r="IM25" s="28"/>
      <c r="IN25" s="28"/>
      <c r="IO25" s="28"/>
      <c r="IP25" s="28"/>
      <c r="IQ25" s="28"/>
      <c r="IR25" s="28"/>
      <c r="IS25" s="28"/>
      <c r="IT25" s="28"/>
      <c r="IU25" s="28"/>
      <c r="IV25" s="28"/>
      <c r="IW25" s="28"/>
      <c r="IX25" s="28"/>
      <c r="IY25" s="28"/>
      <c r="IZ25" s="28"/>
      <c r="JA25" s="28"/>
      <c r="JB25" s="28"/>
      <c r="JC25" s="28"/>
      <c r="JD25" s="28"/>
      <c r="JE25" s="28"/>
      <c r="JF25" s="28"/>
      <c r="JG25" s="28"/>
      <c r="JH25" s="28"/>
      <c r="JI25" s="28"/>
      <c r="JJ25" s="28"/>
      <c r="JK25" s="28"/>
      <c r="JL25" s="28"/>
      <c r="JM25" s="28"/>
      <c r="JN25" s="28"/>
      <c r="JO25" s="28"/>
      <c r="JP25" s="28"/>
      <c r="JQ25" s="28"/>
      <c r="JR25" s="28"/>
      <c r="JS25" s="28"/>
      <c r="JT25" s="28"/>
      <c r="JU25" s="28"/>
      <c r="JV25" s="28"/>
      <c r="JW25" s="28"/>
    </row>
    <row r="26" spans="2:283" s="3" customFormat="1" ht="17.25" customHeight="1" x14ac:dyDescent="0.35">
      <c r="B26" s="28"/>
      <c r="C26" s="28"/>
      <c r="D26" s="28"/>
      <c r="E26" s="29"/>
      <c r="F26" s="31"/>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c r="HL26" s="28"/>
      <c r="HM26" s="28"/>
      <c r="HN26" s="28"/>
      <c r="HO26" s="28"/>
      <c r="HP26" s="28"/>
      <c r="HQ26" s="28"/>
      <c r="HR26" s="28"/>
      <c r="HS26" s="28"/>
      <c r="HT26" s="28"/>
      <c r="HU26" s="28"/>
      <c r="HV26" s="28"/>
      <c r="HW26" s="28"/>
      <c r="HX26" s="28"/>
      <c r="HY26" s="28"/>
      <c r="HZ26" s="28"/>
      <c r="IA26" s="28"/>
      <c r="IB26" s="28"/>
      <c r="IC26" s="28"/>
      <c r="ID26" s="28"/>
      <c r="IE26" s="28"/>
      <c r="IF26" s="28"/>
      <c r="IG26" s="28"/>
      <c r="IH26" s="28"/>
      <c r="II26" s="28"/>
      <c r="IJ26" s="28"/>
      <c r="IK26" s="28"/>
      <c r="IL26" s="28"/>
      <c r="IM26" s="28"/>
      <c r="IN26" s="28"/>
      <c r="IO26" s="28"/>
      <c r="IP26" s="28"/>
      <c r="IQ26" s="28"/>
      <c r="IR26" s="28"/>
      <c r="IS26" s="28"/>
      <c r="IT26" s="28"/>
      <c r="IU26" s="28"/>
      <c r="IV26" s="28"/>
      <c r="IW26" s="28"/>
      <c r="IX26" s="28"/>
      <c r="IY26" s="28"/>
      <c r="IZ26" s="28"/>
      <c r="JA26" s="28"/>
      <c r="JB26" s="28"/>
      <c r="JC26" s="28"/>
      <c r="JD26" s="28"/>
      <c r="JE26" s="28"/>
      <c r="JF26" s="28"/>
      <c r="JG26" s="28"/>
      <c r="JH26" s="28"/>
      <c r="JI26" s="28"/>
      <c r="JJ26" s="28"/>
      <c r="JK26" s="28"/>
      <c r="JL26" s="28"/>
      <c r="JM26" s="28"/>
      <c r="JN26" s="28"/>
      <c r="JO26" s="28"/>
      <c r="JP26" s="28"/>
      <c r="JQ26" s="28"/>
      <c r="JR26" s="28"/>
      <c r="JS26" s="28"/>
      <c r="JT26" s="28"/>
      <c r="JU26" s="28"/>
      <c r="JV26" s="28"/>
      <c r="JW26" s="28"/>
    </row>
    <row r="27" spans="2:283" s="3" customFormat="1" ht="17.25" customHeight="1" x14ac:dyDescent="0.35">
      <c r="B27" s="28"/>
      <c r="C27" s="28"/>
      <c r="D27" s="28"/>
      <c r="E27" s="29"/>
      <c r="F27" s="31"/>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c r="HL27" s="28"/>
      <c r="HM27" s="28"/>
      <c r="HN27" s="28"/>
      <c r="HO27" s="28"/>
      <c r="HP27" s="28"/>
      <c r="HQ27" s="28"/>
      <c r="HR27" s="28"/>
      <c r="HS27" s="28"/>
      <c r="HT27" s="28"/>
      <c r="HU27" s="28"/>
      <c r="HV27" s="28"/>
      <c r="HW27" s="28"/>
      <c r="HX27" s="28"/>
      <c r="HY27" s="28"/>
      <c r="HZ27" s="28"/>
      <c r="IA27" s="28"/>
      <c r="IB27" s="28"/>
      <c r="IC27" s="28"/>
      <c r="ID27" s="28"/>
      <c r="IE27" s="28"/>
      <c r="IF27" s="28"/>
      <c r="IG27" s="28"/>
      <c r="IH27" s="28"/>
      <c r="II27" s="28"/>
      <c r="IJ27" s="28"/>
      <c r="IK27" s="28"/>
      <c r="IL27" s="28"/>
      <c r="IM27" s="28"/>
      <c r="IN27" s="28"/>
      <c r="IO27" s="28"/>
      <c r="IP27" s="28"/>
      <c r="IQ27" s="28"/>
      <c r="IR27" s="28"/>
      <c r="IS27" s="28"/>
      <c r="IT27" s="28"/>
      <c r="IU27" s="28"/>
      <c r="IV27" s="28"/>
      <c r="IW27" s="28"/>
      <c r="IX27" s="28"/>
      <c r="IY27" s="28"/>
      <c r="IZ27" s="28"/>
      <c r="JA27" s="28"/>
      <c r="JB27" s="28"/>
      <c r="JC27" s="28"/>
      <c r="JD27" s="28"/>
      <c r="JE27" s="28"/>
      <c r="JF27" s="28"/>
      <c r="JG27" s="28"/>
      <c r="JH27" s="28"/>
      <c r="JI27" s="28"/>
      <c r="JJ27" s="28"/>
      <c r="JK27" s="28"/>
      <c r="JL27" s="28"/>
      <c r="JM27" s="28"/>
      <c r="JN27" s="28"/>
      <c r="JO27" s="28"/>
      <c r="JP27" s="28"/>
      <c r="JQ27" s="28"/>
      <c r="JR27" s="28"/>
      <c r="JS27" s="28"/>
      <c r="JT27" s="28"/>
      <c r="JU27" s="28"/>
      <c r="JV27" s="28"/>
      <c r="JW27" s="28"/>
    </row>
    <row r="28" spans="2:283" s="3" customFormat="1" ht="17.25" customHeight="1" x14ac:dyDescent="0.35">
      <c r="B28" s="28"/>
      <c r="C28" s="28"/>
      <c r="D28" s="28"/>
      <c r="E28" s="29"/>
      <c r="F28" s="31"/>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c r="HL28" s="28"/>
      <c r="HM28" s="28"/>
      <c r="HN28" s="28"/>
      <c r="HO28" s="28"/>
      <c r="HP28" s="28"/>
      <c r="HQ28" s="28"/>
      <c r="HR28" s="28"/>
      <c r="HS28" s="28"/>
      <c r="HT28" s="28"/>
      <c r="HU28" s="28"/>
      <c r="HV28" s="28"/>
      <c r="HW28" s="28"/>
      <c r="HX28" s="28"/>
      <c r="HY28" s="28"/>
      <c r="HZ28" s="28"/>
      <c r="IA28" s="28"/>
      <c r="IB28" s="28"/>
      <c r="IC28" s="28"/>
      <c r="ID28" s="28"/>
      <c r="IE28" s="28"/>
      <c r="IF28" s="28"/>
      <c r="IG28" s="28"/>
      <c r="IH28" s="28"/>
      <c r="II28" s="28"/>
      <c r="IJ28" s="28"/>
      <c r="IK28" s="28"/>
      <c r="IL28" s="28"/>
      <c r="IM28" s="28"/>
      <c r="IN28" s="28"/>
      <c r="IO28" s="28"/>
      <c r="IP28" s="28"/>
      <c r="IQ28" s="28"/>
      <c r="IR28" s="28"/>
      <c r="IS28" s="28"/>
      <c r="IT28" s="28"/>
      <c r="IU28" s="28"/>
      <c r="IV28" s="28"/>
      <c r="IW28" s="28"/>
      <c r="IX28" s="28"/>
      <c r="IY28" s="28"/>
      <c r="IZ28" s="28"/>
      <c r="JA28" s="28"/>
      <c r="JB28" s="28"/>
      <c r="JC28" s="28"/>
      <c r="JD28" s="28"/>
      <c r="JE28" s="28"/>
      <c r="JF28" s="28"/>
      <c r="JG28" s="28"/>
      <c r="JH28" s="28"/>
      <c r="JI28" s="28"/>
      <c r="JJ28" s="28"/>
      <c r="JK28" s="28"/>
      <c r="JL28" s="28"/>
      <c r="JM28" s="28"/>
      <c r="JN28" s="28"/>
      <c r="JO28" s="28"/>
      <c r="JP28" s="28"/>
      <c r="JQ28" s="28"/>
      <c r="JR28" s="28"/>
      <c r="JS28" s="28"/>
      <c r="JT28" s="28"/>
      <c r="JU28" s="28"/>
      <c r="JV28" s="28"/>
      <c r="JW28" s="28"/>
    </row>
    <row r="29" spans="2:283" s="3" customFormat="1" ht="17.25" customHeight="1" x14ac:dyDescent="0.35">
      <c r="B29" s="28"/>
      <c r="C29" s="28"/>
      <c r="D29" s="28"/>
      <c r="E29" s="29"/>
      <c r="F29" s="31"/>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c r="HL29" s="28"/>
      <c r="HM29" s="28"/>
      <c r="HN29" s="28"/>
      <c r="HO29" s="28"/>
      <c r="HP29" s="28"/>
      <c r="HQ29" s="28"/>
      <c r="HR29" s="28"/>
      <c r="HS29" s="28"/>
      <c r="HT29" s="28"/>
      <c r="HU29" s="28"/>
      <c r="HV29" s="28"/>
      <c r="HW29" s="28"/>
      <c r="HX29" s="28"/>
      <c r="HY29" s="28"/>
      <c r="HZ29" s="28"/>
      <c r="IA29" s="28"/>
      <c r="IB29" s="28"/>
      <c r="IC29" s="28"/>
      <c r="ID29" s="28"/>
      <c r="IE29" s="28"/>
      <c r="IF29" s="28"/>
      <c r="IG29" s="28"/>
      <c r="IH29" s="28"/>
      <c r="II29" s="28"/>
      <c r="IJ29" s="28"/>
      <c r="IK29" s="28"/>
      <c r="IL29" s="28"/>
      <c r="IM29" s="28"/>
      <c r="IN29" s="28"/>
      <c r="IO29" s="28"/>
      <c r="IP29" s="28"/>
      <c r="IQ29" s="28"/>
      <c r="IR29" s="28"/>
      <c r="IS29" s="28"/>
      <c r="IT29" s="28"/>
      <c r="IU29" s="28"/>
      <c r="IV29" s="28"/>
      <c r="IW29" s="28"/>
      <c r="IX29" s="28"/>
      <c r="IY29" s="28"/>
      <c r="IZ29" s="28"/>
      <c r="JA29" s="28"/>
      <c r="JB29" s="28"/>
      <c r="JC29" s="28"/>
      <c r="JD29" s="28"/>
      <c r="JE29" s="28"/>
      <c r="JF29" s="28"/>
      <c r="JG29" s="28"/>
      <c r="JH29" s="28"/>
      <c r="JI29" s="28"/>
      <c r="JJ29" s="28"/>
      <c r="JK29" s="28"/>
      <c r="JL29" s="28"/>
      <c r="JM29" s="28"/>
      <c r="JN29" s="28"/>
      <c r="JO29" s="28"/>
      <c r="JP29" s="28"/>
      <c r="JQ29" s="28"/>
      <c r="JR29" s="28"/>
      <c r="JS29" s="28"/>
      <c r="JT29" s="28"/>
      <c r="JU29" s="28"/>
      <c r="JV29" s="28"/>
      <c r="JW29" s="28"/>
    </row>
    <row r="30" spans="2:283" s="3" customFormat="1" ht="17.25" customHeight="1" x14ac:dyDescent="0.35">
      <c r="B30" s="28"/>
      <c r="C30" s="28"/>
      <c r="D30" s="28"/>
      <c r="E30" s="29"/>
      <c r="F30" s="31"/>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c r="HL30" s="28"/>
      <c r="HM30" s="28"/>
      <c r="HN30" s="28"/>
      <c r="HO30" s="28"/>
      <c r="HP30" s="28"/>
      <c r="HQ30" s="28"/>
      <c r="HR30" s="28"/>
      <c r="HS30" s="28"/>
      <c r="HT30" s="28"/>
      <c r="HU30" s="28"/>
      <c r="HV30" s="28"/>
      <c r="HW30" s="28"/>
      <c r="HX30" s="28"/>
      <c r="HY30" s="28"/>
      <c r="HZ30" s="28"/>
      <c r="IA30" s="28"/>
      <c r="IB30" s="28"/>
      <c r="IC30" s="28"/>
      <c r="ID30" s="28"/>
      <c r="IE30" s="28"/>
      <c r="IF30" s="28"/>
      <c r="IG30" s="28"/>
      <c r="IH30" s="28"/>
      <c r="II30" s="28"/>
      <c r="IJ30" s="28"/>
      <c r="IK30" s="28"/>
      <c r="IL30" s="28"/>
      <c r="IM30" s="28"/>
      <c r="IN30" s="28"/>
      <c r="IO30" s="28"/>
      <c r="IP30" s="28"/>
      <c r="IQ30" s="28"/>
      <c r="IR30" s="28"/>
      <c r="IS30" s="28"/>
      <c r="IT30" s="28"/>
      <c r="IU30" s="28"/>
      <c r="IV30" s="28"/>
      <c r="IW30" s="28"/>
      <c r="IX30" s="28"/>
      <c r="IY30" s="28"/>
      <c r="IZ30" s="28"/>
      <c r="JA30" s="28"/>
      <c r="JB30" s="28"/>
      <c r="JC30" s="28"/>
      <c r="JD30" s="28"/>
      <c r="JE30" s="28"/>
      <c r="JF30" s="28"/>
      <c r="JG30" s="28"/>
      <c r="JH30" s="28"/>
      <c r="JI30" s="28"/>
      <c r="JJ30" s="28"/>
      <c r="JK30" s="28"/>
      <c r="JL30" s="28"/>
      <c r="JM30" s="28"/>
      <c r="JN30" s="28"/>
      <c r="JO30" s="28"/>
      <c r="JP30" s="28"/>
      <c r="JQ30" s="28"/>
      <c r="JR30" s="28"/>
      <c r="JS30" s="28"/>
      <c r="JT30" s="28"/>
      <c r="JU30" s="28"/>
      <c r="JV30" s="28"/>
      <c r="JW30" s="28"/>
    </row>
    <row r="31" spans="2:283" ht="14.5" x14ac:dyDescent="0.35">
      <c r="B31" s="10"/>
      <c r="C31" s="10"/>
      <c r="D31" s="10"/>
      <c r="E31" s="32"/>
      <c r="F31" s="33"/>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c r="GJ31" s="10"/>
      <c r="GK31" s="10"/>
      <c r="GL31" s="10"/>
      <c r="GM31" s="10"/>
      <c r="GN31" s="10"/>
      <c r="GO31" s="10"/>
      <c r="GP31" s="10"/>
      <c r="GQ31" s="10"/>
      <c r="GR31" s="10"/>
      <c r="GS31" s="10"/>
      <c r="GT31" s="10"/>
      <c r="GU31" s="10"/>
      <c r="GV31" s="10"/>
      <c r="GW31" s="10"/>
      <c r="GX31" s="10"/>
      <c r="GY31" s="10"/>
      <c r="GZ31" s="10"/>
      <c r="HA31" s="10"/>
      <c r="HB31" s="10"/>
      <c r="HC31" s="10"/>
      <c r="HD31" s="10"/>
      <c r="HE31" s="10"/>
      <c r="HF31" s="10"/>
      <c r="HG31" s="10"/>
      <c r="HH31" s="10"/>
      <c r="HI31" s="10"/>
      <c r="HJ31" s="10"/>
      <c r="HK31" s="10"/>
      <c r="HL31" s="10"/>
      <c r="HM31" s="10"/>
      <c r="HN31" s="10"/>
      <c r="HO31" s="10"/>
      <c r="HP31" s="10"/>
      <c r="HQ31" s="10"/>
      <c r="HR31" s="10"/>
      <c r="HS31" s="10"/>
      <c r="HT31" s="10"/>
      <c r="HU31" s="10"/>
      <c r="HV31" s="10"/>
      <c r="HW31" s="10"/>
      <c r="HX31" s="10"/>
      <c r="HY31" s="10"/>
      <c r="HZ31" s="10"/>
      <c r="IA31" s="10"/>
      <c r="IB31" s="10"/>
      <c r="IC31" s="10"/>
      <c r="ID31" s="10"/>
      <c r="IE31" s="10"/>
      <c r="IF31" s="10"/>
      <c r="IG31" s="10"/>
      <c r="IH31" s="10"/>
      <c r="II31" s="10"/>
      <c r="IJ31" s="10"/>
      <c r="IK31" s="10"/>
      <c r="IL31" s="10"/>
      <c r="IM31" s="10"/>
      <c r="IN31" s="10"/>
      <c r="IO31" s="10"/>
      <c r="IP31" s="10"/>
      <c r="IQ31" s="10"/>
      <c r="IR31" s="10"/>
      <c r="IS31" s="10"/>
      <c r="IT31" s="10"/>
      <c r="IU31" s="10"/>
      <c r="IV31" s="10"/>
      <c r="IW31" s="10"/>
      <c r="IX31" s="10"/>
      <c r="IY31" s="10"/>
      <c r="IZ31" s="10"/>
      <c r="JA31" s="10"/>
      <c r="JB31" s="10"/>
      <c r="JC31" s="10"/>
      <c r="JD31" s="10"/>
      <c r="JE31" s="10"/>
      <c r="JF31" s="10"/>
      <c r="JG31" s="10"/>
      <c r="JH31" s="10"/>
      <c r="JI31" s="10"/>
      <c r="JJ31" s="10"/>
      <c r="JK31" s="10"/>
      <c r="JL31" s="10"/>
      <c r="JM31" s="10"/>
      <c r="JN31" s="10"/>
      <c r="JO31" s="10"/>
      <c r="JP31" s="10"/>
      <c r="JQ31" s="10"/>
      <c r="JR31" s="10"/>
      <c r="JS31" s="10"/>
      <c r="JT31" s="10"/>
      <c r="JU31" s="10"/>
      <c r="JV31" s="10"/>
      <c r="JW31" s="10"/>
    </row>
    <row r="32" spans="2:283" ht="14.5" x14ac:dyDescent="0.35">
      <c r="B32" s="10"/>
      <c r="C32" s="10"/>
      <c r="D32" s="10"/>
      <c r="E32" s="32"/>
      <c r="F32" s="33"/>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10"/>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c r="FZ32" s="10"/>
      <c r="GA32" s="10"/>
      <c r="GB32" s="10"/>
      <c r="GC32" s="10"/>
      <c r="GD32" s="10"/>
      <c r="GE32" s="10"/>
      <c r="GF32" s="10"/>
      <c r="GG32" s="10"/>
      <c r="GH32" s="10"/>
      <c r="GI32" s="10"/>
      <c r="GJ32" s="10"/>
      <c r="GK32" s="10"/>
      <c r="GL32" s="10"/>
      <c r="GM32" s="10"/>
      <c r="GN32" s="10"/>
      <c r="GO32" s="10"/>
      <c r="GP32" s="10"/>
      <c r="GQ32" s="10"/>
      <c r="GR32" s="10"/>
      <c r="GS32" s="10"/>
      <c r="GT32" s="10"/>
      <c r="GU32" s="10"/>
      <c r="GV32" s="10"/>
      <c r="GW32" s="10"/>
      <c r="GX32" s="10"/>
      <c r="GY32" s="10"/>
      <c r="GZ32" s="10"/>
      <c r="HA32" s="10"/>
      <c r="HB32" s="10"/>
      <c r="HC32" s="10"/>
      <c r="HD32" s="10"/>
      <c r="HE32" s="10"/>
      <c r="HF32" s="10"/>
      <c r="HG32" s="10"/>
      <c r="HH32" s="10"/>
      <c r="HI32" s="10"/>
      <c r="HJ32" s="10"/>
      <c r="HK32" s="10"/>
      <c r="HL32" s="10"/>
      <c r="HM32" s="10"/>
      <c r="HN32" s="10"/>
      <c r="HO32" s="10"/>
      <c r="HP32" s="10"/>
      <c r="HQ32" s="10"/>
      <c r="HR32" s="10"/>
      <c r="HS32" s="10"/>
      <c r="HT32" s="10"/>
      <c r="HU32" s="10"/>
      <c r="HV32" s="10"/>
      <c r="HW32" s="10"/>
      <c r="HX32" s="10"/>
      <c r="HY32" s="10"/>
      <c r="HZ32" s="10"/>
      <c r="IA32" s="10"/>
      <c r="IB32" s="10"/>
      <c r="IC32" s="10"/>
      <c r="ID32" s="10"/>
      <c r="IE32" s="10"/>
      <c r="IF32" s="10"/>
      <c r="IG32" s="10"/>
      <c r="IH32" s="10"/>
      <c r="II32" s="10"/>
      <c r="IJ32" s="10"/>
      <c r="IK32" s="10"/>
      <c r="IL32" s="10"/>
      <c r="IM32" s="10"/>
      <c r="IN32" s="10"/>
      <c r="IO32" s="10"/>
      <c r="IP32" s="10"/>
      <c r="IQ32" s="10"/>
      <c r="IR32" s="10"/>
      <c r="IS32" s="10"/>
      <c r="IT32" s="10"/>
      <c r="IU32" s="10"/>
      <c r="IV32" s="10"/>
      <c r="IW32" s="10"/>
      <c r="IX32" s="10"/>
      <c r="IY32" s="10"/>
      <c r="IZ32" s="10"/>
      <c r="JA32" s="10"/>
      <c r="JB32" s="10"/>
      <c r="JC32" s="10"/>
      <c r="JD32" s="10"/>
      <c r="JE32" s="10"/>
      <c r="JF32" s="10"/>
      <c r="JG32" s="10"/>
      <c r="JH32" s="10"/>
      <c r="JI32" s="10"/>
      <c r="JJ32" s="10"/>
      <c r="JK32" s="10"/>
      <c r="JL32" s="10"/>
      <c r="JM32" s="10"/>
      <c r="JN32" s="10"/>
      <c r="JO32" s="10"/>
      <c r="JP32" s="10"/>
      <c r="JQ32" s="10"/>
      <c r="JR32" s="10"/>
      <c r="JS32" s="10"/>
      <c r="JT32" s="10"/>
      <c r="JU32" s="10"/>
      <c r="JV32" s="10"/>
      <c r="JW32" s="10"/>
    </row>
    <row r="33" spans="2:283" ht="14.5" x14ac:dyDescent="0.35">
      <c r="B33" s="10"/>
      <c r="C33" s="10"/>
      <c r="D33" s="10"/>
      <c r="E33" s="32"/>
      <c r="F33" s="33"/>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c r="GB33" s="10"/>
      <c r="GC33" s="10"/>
      <c r="GD33" s="10"/>
      <c r="GE33" s="10"/>
      <c r="GF33" s="10"/>
      <c r="GG33" s="10"/>
      <c r="GH33" s="10"/>
      <c r="GI33" s="10"/>
      <c r="GJ33" s="10"/>
      <c r="GK33" s="10"/>
      <c r="GL33" s="10"/>
      <c r="GM33" s="10"/>
      <c r="GN33" s="10"/>
      <c r="GO33" s="10"/>
      <c r="GP33" s="10"/>
      <c r="GQ33" s="10"/>
      <c r="GR33" s="10"/>
      <c r="GS33" s="10"/>
      <c r="GT33" s="10"/>
      <c r="GU33" s="10"/>
      <c r="GV33" s="10"/>
      <c r="GW33" s="10"/>
      <c r="GX33" s="10"/>
      <c r="GY33" s="10"/>
      <c r="GZ33" s="10"/>
      <c r="HA33" s="10"/>
      <c r="HB33" s="10"/>
      <c r="HC33" s="10"/>
      <c r="HD33" s="10"/>
      <c r="HE33" s="10"/>
      <c r="HF33" s="10"/>
      <c r="HG33" s="10"/>
      <c r="HH33" s="10"/>
      <c r="HI33" s="10"/>
      <c r="HJ33" s="10"/>
      <c r="HK33" s="10"/>
      <c r="HL33" s="10"/>
      <c r="HM33" s="10"/>
      <c r="HN33" s="10"/>
      <c r="HO33" s="10"/>
      <c r="HP33" s="10"/>
      <c r="HQ33" s="10"/>
      <c r="HR33" s="10"/>
      <c r="HS33" s="10"/>
      <c r="HT33" s="10"/>
      <c r="HU33" s="10"/>
      <c r="HV33" s="10"/>
      <c r="HW33" s="10"/>
      <c r="HX33" s="10"/>
      <c r="HY33" s="10"/>
      <c r="HZ33" s="10"/>
      <c r="IA33" s="10"/>
      <c r="IB33" s="10"/>
      <c r="IC33" s="10"/>
      <c r="ID33" s="10"/>
      <c r="IE33" s="10"/>
      <c r="IF33" s="10"/>
      <c r="IG33" s="10"/>
      <c r="IH33" s="10"/>
      <c r="II33" s="10"/>
      <c r="IJ33" s="10"/>
      <c r="IK33" s="10"/>
      <c r="IL33" s="10"/>
      <c r="IM33" s="10"/>
      <c r="IN33" s="10"/>
      <c r="IO33" s="10"/>
      <c r="IP33" s="10"/>
      <c r="IQ33" s="10"/>
      <c r="IR33" s="10"/>
      <c r="IS33" s="10"/>
      <c r="IT33" s="10"/>
      <c r="IU33" s="10"/>
      <c r="IV33" s="10"/>
      <c r="IW33" s="10"/>
      <c r="IX33" s="10"/>
      <c r="IY33" s="10"/>
      <c r="IZ33" s="10"/>
      <c r="JA33" s="10"/>
      <c r="JB33" s="10"/>
      <c r="JC33" s="10"/>
      <c r="JD33" s="10"/>
      <c r="JE33" s="10"/>
      <c r="JF33" s="10"/>
      <c r="JG33" s="10"/>
      <c r="JH33" s="10"/>
      <c r="JI33" s="10"/>
      <c r="JJ33" s="10"/>
      <c r="JK33" s="10"/>
      <c r="JL33" s="10"/>
      <c r="JM33" s="10"/>
      <c r="JN33" s="10"/>
      <c r="JO33" s="10"/>
      <c r="JP33" s="10"/>
      <c r="JQ33" s="10"/>
      <c r="JR33" s="10"/>
      <c r="JS33" s="10"/>
      <c r="JT33" s="10"/>
      <c r="JU33" s="10"/>
      <c r="JV33" s="10"/>
      <c r="JW33" s="10"/>
    </row>
    <row r="34" spans="2:283" ht="14.5" x14ac:dyDescent="0.35">
      <c r="B34" s="10"/>
      <c r="C34" s="10"/>
      <c r="D34" s="10"/>
      <c r="E34" s="32"/>
      <c r="F34" s="33"/>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c r="GJ34" s="10"/>
      <c r="GK34" s="10"/>
      <c r="GL34" s="10"/>
      <c r="GM34" s="10"/>
      <c r="GN34" s="10"/>
      <c r="GO34" s="10"/>
      <c r="GP34" s="10"/>
      <c r="GQ34" s="10"/>
      <c r="GR34" s="10"/>
      <c r="GS34" s="10"/>
      <c r="GT34" s="10"/>
      <c r="GU34" s="10"/>
      <c r="GV34" s="10"/>
      <c r="GW34" s="10"/>
      <c r="GX34" s="10"/>
      <c r="GY34" s="10"/>
      <c r="GZ34" s="10"/>
      <c r="HA34" s="10"/>
      <c r="HB34" s="10"/>
      <c r="HC34" s="10"/>
      <c r="HD34" s="10"/>
      <c r="HE34" s="10"/>
      <c r="HF34" s="10"/>
      <c r="HG34" s="10"/>
      <c r="HH34" s="10"/>
      <c r="HI34" s="10"/>
      <c r="HJ34" s="10"/>
      <c r="HK34" s="10"/>
      <c r="HL34" s="10"/>
      <c r="HM34" s="10"/>
      <c r="HN34" s="10"/>
      <c r="HO34" s="10"/>
      <c r="HP34" s="10"/>
      <c r="HQ34" s="10"/>
      <c r="HR34" s="10"/>
      <c r="HS34" s="10"/>
      <c r="HT34" s="10"/>
      <c r="HU34" s="10"/>
      <c r="HV34" s="10"/>
      <c r="HW34" s="10"/>
      <c r="HX34" s="10"/>
      <c r="HY34" s="10"/>
      <c r="HZ34" s="10"/>
      <c r="IA34" s="10"/>
      <c r="IB34" s="10"/>
      <c r="IC34" s="10"/>
      <c r="ID34" s="10"/>
      <c r="IE34" s="10"/>
      <c r="IF34" s="10"/>
      <c r="IG34" s="10"/>
      <c r="IH34" s="10"/>
      <c r="II34" s="10"/>
      <c r="IJ34" s="10"/>
      <c r="IK34" s="10"/>
      <c r="IL34" s="10"/>
      <c r="IM34" s="10"/>
      <c r="IN34" s="10"/>
      <c r="IO34" s="10"/>
      <c r="IP34" s="10"/>
      <c r="IQ34" s="10"/>
      <c r="IR34" s="10"/>
      <c r="IS34" s="10"/>
      <c r="IT34" s="10"/>
      <c r="IU34" s="10"/>
      <c r="IV34" s="10"/>
      <c r="IW34" s="10"/>
      <c r="IX34" s="10"/>
      <c r="IY34" s="10"/>
      <c r="IZ34" s="10"/>
      <c r="JA34" s="10"/>
      <c r="JB34" s="10"/>
      <c r="JC34" s="10"/>
      <c r="JD34" s="10"/>
      <c r="JE34" s="10"/>
      <c r="JF34" s="10"/>
      <c r="JG34" s="10"/>
      <c r="JH34" s="10"/>
      <c r="JI34" s="10"/>
      <c r="JJ34" s="10"/>
      <c r="JK34" s="10"/>
      <c r="JL34" s="10"/>
      <c r="JM34" s="10"/>
      <c r="JN34" s="10"/>
      <c r="JO34" s="10"/>
      <c r="JP34" s="10"/>
      <c r="JQ34" s="10"/>
      <c r="JR34" s="10"/>
      <c r="JS34" s="10"/>
      <c r="JT34" s="10"/>
      <c r="JU34" s="10"/>
      <c r="JV34" s="10"/>
      <c r="JW34" s="10"/>
    </row>
    <row r="35" spans="2:283" ht="14.5" x14ac:dyDescent="0.35">
      <c r="B35" s="10"/>
      <c r="C35" s="10"/>
      <c r="D35" s="10"/>
      <c r="E35" s="32"/>
      <c r="F35" s="33"/>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c r="GJ35" s="10"/>
      <c r="GK35" s="10"/>
      <c r="GL35" s="10"/>
      <c r="GM35" s="10"/>
      <c r="GN35" s="10"/>
      <c r="GO35" s="10"/>
      <c r="GP35" s="10"/>
      <c r="GQ35" s="10"/>
      <c r="GR35" s="10"/>
      <c r="GS35" s="10"/>
      <c r="GT35" s="10"/>
      <c r="GU35" s="10"/>
      <c r="GV35" s="10"/>
      <c r="GW35" s="10"/>
      <c r="GX35" s="10"/>
      <c r="GY35" s="10"/>
      <c r="GZ35" s="10"/>
      <c r="HA35" s="10"/>
      <c r="HB35" s="10"/>
      <c r="HC35" s="10"/>
      <c r="HD35" s="10"/>
      <c r="HE35" s="10"/>
      <c r="HF35" s="10"/>
      <c r="HG35" s="10"/>
      <c r="HH35" s="10"/>
      <c r="HI35" s="10"/>
      <c r="HJ35" s="10"/>
      <c r="HK35" s="10"/>
      <c r="HL35" s="10"/>
      <c r="HM35" s="10"/>
      <c r="HN35" s="10"/>
      <c r="HO35" s="10"/>
      <c r="HP35" s="10"/>
      <c r="HQ35" s="10"/>
      <c r="HR35" s="10"/>
      <c r="HS35" s="10"/>
      <c r="HT35" s="10"/>
      <c r="HU35" s="10"/>
      <c r="HV35" s="10"/>
      <c r="HW35" s="10"/>
      <c r="HX35" s="10"/>
      <c r="HY35" s="10"/>
      <c r="HZ35" s="10"/>
      <c r="IA35" s="10"/>
      <c r="IB35" s="10"/>
      <c r="IC35" s="10"/>
      <c r="ID35" s="10"/>
      <c r="IE35" s="10"/>
      <c r="IF35" s="10"/>
      <c r="IG35" s="10"/>
      <c r="IH35" s="10"/>
      <c r="II35" s="10"/>
      <c r="IJ35" s="10"/>
      <c r="IK35" s="10"/>
      <c r="IL35" s="10"/>
      <c r="IM35" s="10"/>
      <c r="IN35" s="10"/>
      <c r="IO35" s="10"/>
      <c r="IP35" s="10"/>
      <c r="IQ35" s="10"/>
      <c r="IR35" s="10"/>
      <c r="IS35" s="10"/>
      <c r="IT35" s="10"/>
      <c r="IU35" s="10"/>
      <c r="IV35" s="10"/>
      <c r="IW35" s="10"/>
      <c r="IX35" s="10"/>
      <c r="IY35" s="10"/>
      <c r="IZ35" s="10"/>
      <c r="JA35" s="10"/>
      <c r="JB35" s="10"/>
      <c r="JC35" s="10"/>
      <c r="JD35" s="10"/>
      <c r="JE35" s="10"/>
      <c r="JF35" s="10"/>
      <c r="JG35" s="10"/>
      <c r="JH35" s="10"/>
      <c r="JI35" s="10"/>
      <c r="JJ35" s="10"/>
      <c r="JK35" s="10"/>
      <c r="JL35" s="10"/>
      <c r="JM35" s="10"/>
      <c r="JN35" s="10"/>
      <c r="JO35" s="10"/>
      <c r="JP35" s="10"/>
      <c r="JQ35" s="10"/>
      <c r="JR35" s="10"/>
      <c r="JS35" s="10"/>
      <c r="JT35" s="10"/>
      <c r="JU35" s="10"/>
      <c r="JV35" s="10"/>
      <c r="JW35" s="10"/>
    </row>
    <row r="36" spans="2:283" ht="14.5" x14ac:dyDescent="0.35">
      <c r="B36" s="10"/>
      <c r="C36" s="10"/>
      <c r="D36" s="10"/>
      <c r="E36" s="32"/>
      <c r="F36" s="33"/>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c r="IG36" s="10"/>
      <c r="IH36" s="10"/>
      <c r="II36" s="10"/>
      <c r="IJ36" s="10"/>
      <c r="IK36" s="10"/>
      <c r="IL36" s="10"/>
      <c r="IM36" s="10"/>
      <c r="IN36" s="10"/>
      <c r="IO36" s="10"/>
      <c r="IP36" s="10"/>
      <c r="IQ36" s="10"/>
      <c r="IR36" s="10"/>
      <c r="IS36" s="10"/>
      <c r="IT36" s="10"/>
      <c r="IU36" s="10"/>
      <c r="IV36" s="10"/>
      <c r="IW36" s="10"/>
      <c r="IX36" s="10"/>
      <c r="IY36" s="10"/>
      <c r="IZ36" s="10"/>
      <c r="JA36" s="10"/>
      <c r="JB36" s="10"/>
      <c r="JC36" s="10"/>
      <c r="JD36" s="10"/>
      <c r="JE36" s="10"/>
      <c r="JF36" s="10"/>
      <c r="JG36" s="10"/>
      <c r="JH36" s="10"/>
      <c r="JI36" s="10"/>
      <c r="JJ36" s="10"/>
      <c r="JK36" s="10"/>
      <c r="JL36" s="10"/>
      <c r="JM36" s="10"/>
      <c r="JN36" s="10"/>
      <c r="JO36" s="10"/>
      <c r="JP36" s="10"/>
      <c r="JQ36" s="10"/>
      <c r="JR36" s="10"/>
      <c r="JS36" s="10"/>
      <c r="JT36" s="10"/>
      <c r="JU36" s="10"/>
      <c r="JV36" s="10"/>
      <c r="JW36" s="10"/>
    </row>
    <row r="37" spans="2:283" ht="14.5" x14ac:dyDescent="0.35">
      <c r="B37" s="10"/>
      <c r="C37" s="10"/>
      <c r="D37" s="10"/>
      <c r="E37" s="32"/>
      <c r="F37" s="33"/>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c r="FZ37" s="10"/>
      <c r="GA37" s="10"/>
      <c r="GB37" s="10"/>
      <c r="GC37" s="10"/>
      <c r="GD37" s="10"/>
      <c r="GE37" s="10"/>
      <c r="GF37" s="10"/>
      <c r="GG37" s="10"/>
      <c r="GH37" s="10"/>
      <c r="GI37" s="10"/>
      <c r="GJ37" s="10"/>
      <c r="GK37" s="10"/>
      <c r="GL37" s="10"/>
      <c r="GM37" s="10"/>
      <c r="GN37" s="10"/>
      <c r="GO37" s="10"/>
      <c r="GP37" s="10"/>
      <c r="GQ37" s="10"/>
      <c r="GR37" s="10"/>
      <c r="GS37" s="10"/>
      <c r="GT37" s="10"/>
      <c r="GU37" s="10"/>
      <c r="GV37" s="10"/>
      <c r="GW37" s="10"/>
      <c r="GX37" s="10"/>
      <c r="GY37" s="10"/>
      <c r="GZ37" s="10"/>
      <c r="HA37" s="10"/>
      <c r="HB37" s="10"/>
      <c r="HC37" s="10"/>
      <c r="HD37" s="10"/>
      <c r="HE37" s="10"/>
      <c r="HF37" s="10"/>
      <c r="HG37" s="10"/>
      <c r="HH37" s="10"/>
      <c r="HI37" s="10"/>
      <c r="HJ37" s="10"/>
      <c r="HK37" s="10"/>
      <c r="HL37" s="10"/>
      <c r="HM37" s="10"/>
      <c r="HN37" s="10"/>
      <c r="HO37" s="10"/>
      <c r="HP37" s="10"/>
      <c r="HQ37" s="10"/>
      <c r="HR37" s="10"/>
      <c r="HS37" s="10"/>
      <c r="HT37" s="10"/>
      <c r="HU37" s="10"/>
      <c r="HV37" s="10"/>
      <c r="HW37" s="10"/>
      <c r="HX37" s="10"/>
      <c r="HY37" s="10"/>
      <c r="HZ37" s="10"/>
      <c r="IA37" s="10"/>
      <c r="IB37" s="10"/>
      <c r="IC37" s="10"/>
      <c r="ID37" s="10"/>
      <c r="IE37" s="10"/>
      <c r="IF37" s="10"/>
      <c r="IG37" s="10"/>
      <c r="IH37" s="10"/>
      <c r="II37" s="10"/>
      <c r="IJ37" s="10"/>
      <c r="IK37" s="10"/>
      <c r="IL37" s="10"/>
      <c r="IM37" s="10"/>
      <c r="IN37" s="10"/>
      <c r="IO37" s="10"/>
      <c r="IP37" s="10"/>
      <c r="IQ37" s="10"/>
      <c r="IR37" s="10"/>
      <c r="IS37" s="10"/>
      <c r="IT37" s="10"/>
      <c r="IU37" s="10"/>
      <c r="IV37" s="10"/>
      <c r="IW37" s="10"/>
      <c r="IX37" s="10"/>
      <c r="IY37" s="10"/>
      <c r="IZ37" s="10"/>
      <c r="JA37" s="10"/>
      <c r="JB37" s="10"/>
      <c r="JC37" s="10"/>
      <c r="JD37" s="10"/>
      <c r="JE37" s="10"/>
      <c r="JF37" s="10"/>
      <c r="JG37" s="10"/>
      <c r="JH37" s="10"/>
      <c r="JI37" s="10"/>
      <c r="JJ37" s="10"/>
      <c r="JK37" s="10"/>
      <c r="JL37" s="10"/>
      <c r="JM37" s="10"/>
      <c r="JN37" s="10"/>
      <c r="JO37" s="10"/>
      <c r="JP37" s="10"/>
      <c r="JQ37" s="10"/>
      <c r="JR37" s="10"/>
      <c r="JS37" s="10"/>
      <c r="JT37" s="10"/>
      <c r="JU37" s="10"/>
      <c r="JV37" s="10"/>
      <c r="JW37" s="10"/>
    </row>
    <row r="38" spans="2:283" ht="14.5" x14ac:dyDescent="0.35">
      <c r="B38" s="10"/>
      <c r="C38" s="10"/>
      <c r="D38" s="10"/>
      <c r="E38" s="32"/>
      <c r="F38" s="33"/>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10"/>
      <c r="JP38" s="10"/>
      <c r="JQ38" s="10"/>
      <c r="JR38" s="10"/>
      <c r="JS38" s="10"/>
      <c r="JT38" s="10"/>
      <c r="JU38" s="10"/>
      <c r="JV38" s="10"/>
      <c r="JW38" s="10"/>
    </row>
    <row r="39" spans="2:283" ht="14.5" x14ac:dyDescent="0.35">
      <c r="B39" s="10"/>
      <c r="C39" s="10"/>
      <c r="D39" s="10"/>
      <c r="E39" s="32"/>
      <c r="F39" s="33"/>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c r="IG39" s="10"/>
      <c r="IH39" s="10"/>
      <c r="II39" s="10"/>
      <c r="IJ39" s="10"/>
      <c r="IK39" s="10"/>
      <c r="IL39" s="10"/>
      <c r="IM39" s="10"/>
      <c r="IN39" s="10"/>
      <c r="IO39" s="10"/>
      <c r="IP39" s="10"/>
      <c r="IQ39" s="10"/>
      <c r="IR39" s="10"/>
      <c r="IS39" s="10"/>
      <c r="IT39" s="10"/>
      <c r="IU39" s="10"/>
      <c r="IV39" s="10"/>
      <c r="IW39" s="10"/>
      <c r="IX39" s="10"/>
      <c r="IY39" s="10"/>
      <c r="IZ39" s="10"/>
      <c r="JA39" s="10"/>
      <c r="JB39" s="10"/>
      <c r="JC39" s="10"/>
      <c r="JD39" s="10"/>
      <c r="JE39" s="10"/>
      <c r="JF39" s="10"/>
      <c r="JG39" s="10"/>
      <c r="JH39" s="10"/>
      <c r="JI39" s="10"/>
      <c r="JJ39" s="10"/>
      <c r="JK39" s="10"/>
      <c r="JL39" s="10"/>
      <c r="JM39" s="10"/>
      <c r="JN39" s="10"/>
      <c r="JO39" s="10"/>
      <c r="JP39" s="10"/>
      <c r="JQ39" s="10"/>
      <c r="JR39" s="10"/>
      <c r="JS39" s="10"/>
      <c r="JT39" s="10"/>
      <c r="JU39" s="10"/>
      <c r="JV39" s="10"/>
      <c r="JW39" s="10"/>
    </row>
    <row r="40" spans="2:283" ht="14.5" x14ac:dyDescent="0.35">
      <c r="B40" s="10"/>
      <c r="C40" s="10"/>
      <c r="D40" s="10"/>
      <c r="E40" s="32"/>
      <c r="F40" s="33"/>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10"/>
      <c r="JP40" s="10"/>
      <c r="JQ40" s="10"/>
      <c r="JR40" s="10"/>
      <c r="JS40" s="10"/>
      <c r="JT40" s="10"/>
      <c r="JU40" s="10"/>
      <c r="JV40" s="10"/>
      <c r="JW40" s="10"/>
    </row>
    <row r="41" spans="2:283" ht="14.5" x14ac:dyDescent="0.35">
      <c r="B41" s="10"/>
      <c r="C41" s="10"/>
      <c r="D41" s="10"/>
      <c r="E41" s="32"/>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10"/>
      <c r="IK41" s="10"/>
      <c r="IL41" s="10"/>
      <c r="IM41" s="10"/>
      <c r="IN41" s="10"/>
      <c r="IO41" s="10"/>
      <c r="IP41" s="10"/>
      <c r="IQ41" s="10"/>
      <c r="IR41" s="10"/>
      <c r="IS41" s="10"/>
      <c r="IT41" s="10"/>
      <c r="IU41" s="10"/>
      <c r="IV41" s="10"/>
      <c r="IW41" s="10"/>
      <c r="IX41" s="10"/>
      <c r="IY41" s="10"/>
      <c r="IZ41" s="10"/>
      <c r="JA41" s="10"/>
      <c r="JB41" s="10"/>
      <c r="JC41" s="10"/>
      <c r="JD41" s="10"/>
      <c r="JE41" s="10"/>
      <c r="JF41" s="10"/>
      <c r="JG41" s="10"/>
      <c r="JH41" s="10"/>
      <c r="JI41" s="10"/>
      <c r="JJ41" s="10"/>
      <c r="JK41" s="10"/>
      <c r="JL41" s="10"/>
      <c r="JM41" s="10"/>
      <c r="JN41" s="10"/>
      <c r="JO41" s="10"/>
      <c r="JP41" s="10"/>
      <c r="JQ41" s="10"/>
      <c r="JR41" s="10"/>
      <c r="JS41" s="10"/>
      <c r="JT41" s="10"/>
      <c r="JU41" s="10"/>
      <c r="JV41" s="10"/>
      <c r="JW41" s="10"/>
    </row>
    <row r="42" spans="2:283" ht="14.5" x14ac:dyDescent="0.35">
      <c r="B42" s="10"/>
      <c r="C42" s="10"/>
      <c r="D42" s="10"/>
      <c r="E42" s="32"/>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row>
    <row r="43" spans="2:283" ht="14.5" x14ac:dyDescent="0.35">
      <c r="B43" s="10"/>
      <c r="C43" s="10"/>
      <c r="D43" s="10"/>
      <c r="E43" s="32"/>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c r="JU43" s="10"/>
      <c r="JV43" s="10"/>
      <c r="JW43" s="10"/>
    </row>
  </sheetData>
  <conditionalFormatting sqref="B6:AT30">
    <cfRule type="expression" dxfId="18" priority="2">
      <formula>AND($B6&lt;&gt;"",B$5&lt;&gt;"",MOD(ROW(),2))</formula>
    </cfRule>
  </conditionalFormatting>
  <conditionalFormatting sqref="G6:AT30">
    <cfRule type="expression" dxfId="17" priority="1">
      <formula>AND(G$5&lt;&gt;"",G$5=$E6)</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1F470-8BEC-4F53-9437-DFFBC48F8A85}">
  <dimension ref="A1:P19"/>
  <sheetViews>
    <sheetView showGridLines="0" zoomScale="83" zoomScaleNormal="83" workbookViewId="0">
      <selection activeCell="C10" sqref="C10"/>
    </sheetView>
  </sheetViews>
  <sheetFormatPr defaultColWidth="9.1796875" defaultRowHeight="16.5" x14ac:dyDescent="0.45"/>
  <cols>
    <col min="1" max="1" width="3.453125" style="1" customWidth="1"/>
    <col min="2" max="2" width="3.26953125" style="1" customWidth="1"/>
    <col min="3" max="3" width="23.1796875" style="1" customWidth="1"/>
    <col min="4" max="4" width="4.1796875" style="1" customWidth="1"/>
    <col min="5" max="5" width="16.7265625" style="1" bestFit="1" customWidth="1"/>
    <col min="6" max="6" width="3.54296875" style="1" customWidth="1"/>
    <col min="7" max="7" width="24.7265625" style="1" bestFit="1" customWidth="1"/>
    <col min="8" max="8" width="10" style="1" bestFit="1" customWidth="1"/>
    <col min="9" max="9" width="11.81640625" style="1" bestFit="1" customWidth="1"/>
    <col min="10" max="10" width="10" style="1" bestFit="1" customWidth="1"/>
    <col min="11" max="11" width="9.26953125" style="1" bestFit="1" customWidth="1"/>
    <col min="12" max="15" width="9.26953125" style="1" customWidth="1"/>
    <col min="16" max="16" width="17" style="1" bestFit="1" customWidth="1"/>
    <col min="17" max="18" width="15.81640625" style="1" customWidth="1"/>
    <col min="19" max="16384" width="9.1796875" style="1"/>
  </cols>
  <sheetData>
    <row r="1" spans="1:16" s="8" customFormat="1" ht="48.75" customHeight="1" x14ac:dyDescent="0.45">
      <c r="A1" s="7"/>
      <c r="B1" s="12" t="s">
        <v>90</v>
      </c>
      <c r="C1" s="13"/>
      <c r="D1" s="7"/>
      <c r="E1" s="7"/>
      <c r="F1" s="7"/>
      <c r="G1" s="7"/>
      <c r="H1" s="7"/>
      <c r="I1" s="7"/>
      <c r="J1" s="7"/>
      <c r="K1" s="7"/>
      <c r="L1" s="7"/>
      <c r="M1" s="7"/>
      <c r="N1" s="7"/>
      <c r="O1" s="7"/>
      <c r="P1" s="7"/>
    </row>
    <row r="3" spans="1:16" x14ac:dyDescent="0.45">
      <c r="B3" s="2"/>
      <c r="C3" s="10"/>
      <c r="D3" s="10"/>
      <c r="E3" s="10"/>
      <c r="F3" s="10"/>
    </row>
    <row r="4" spans="1:16" x14ac:dyDescent="0.45">
      <c r="B4" s="2"/>
      <c r="C4" s="14" t="s">
        <v>1</v>
      </c>
      <c r="D4" s="14"/>
      <c r="E4" s="14" t="s">
        <v>5</v>
      </c>
      <c r="F4" s="10"/>
    </row>
    <row r="5" spans="1:16" x14ac:dyDescent="0.45">
      <c r="B5" s="2"/>
      <c r="C5" s="14" t="s">
        <v>16</v>
      </c>
      <c r="D5" s="14"/>
      <c r="E5" s="15" t="s">
        <v>22</v>
      </c>
      <c r="F5" s="10"/>
    </row>
    <row r="6" spans="1:16" x14ac:dyDescent="0.45">
      <c r="B6" s="2"/>
      <c r="C6" s="14" t="s">
        <v>11</v>
      </c>
      <c r="D6" s="14"/>
      <c r="E6" s="15" t="s">
        <v>23</v>
      </c>
      <c r="F6" s="10"/>
    </row>
    <row r="7" spans="1:16" x14ac:dyDescent="0.45">
      <c r="B7" s="2"/>
      <c r="C7" s="14" t="s">
        <v>21</v>
      </c>
      <c r="D7" s="14"/>
      <c r="E7" s="15" t="s">
        <v>24</v>
      </c>
      <c r="F7" s="10"/>
    </row>
    <row r="8" spans="1:16" x14ac:dyDescent="0.45">
      <c r="B8" s="2"/>
      <c r="C8" s="14" t="s">
        <v>8</v>
      </c>
      <c r="D8" s="14"/>
      <c r="E8" s="16"/>
      <c r="F8" s="10"/>
    </row>
    <row r="9" spans="1:16" x14ac:dyDescent="0.45">
      <c r="B9" s="2"/>
      <c r="C9" s="14" t="s">
        <v>19</v>
      </c>
      <c r="D9" s="14"/>
      <c r="E9" s="16"/>
      <c r="F9" s="10"/>
    </row>
    <row r="10" spans="1:16" x14ac:dyDescent="0.45">
      <c r="B10" s="2"/>
      <c r="C10" s="14" t="s">
        <v>17</v>
      </c>
      <c r="D10" s="14"/>
      <c r="E10" s="16"/>
      <c r="F10" s="10"/>
    </row>
    <row r="11" spans="1:16" x14ac:dyDescent="0.45">
      <c r="B11" s="2"/>
      <c r="C11" s="14" t="s">
        <v>18</v>
      </c>
      <c r="D11" s="14"/>
      <c r="E11" s="16"/>
      <c r="F11" s="10"/>
    </row>
    <row r="12" spans="1:16" x14ac:dyDescent="0.45">
      <c r="B12" s="2"/>
      <c r="C12" s="14" t="s">
        <v>9</v>
      </c>
      <c r="D12" s="14"/>
      <c r="E12" s="16"/>
      <c r="F12" s="10"/>
    </row>
    <row r="13" spans="1:16" x14ac:dyDescent="0.45">
      <c r="B13" s="2"/>
      <c r="C13" s="14" t="s">
        <v>20</v>
      </c>
      <c r="D13" s="14"/>
      <c r="E13" s="16"/>
      <c r="F13" s="10"/>
    </row>
    <row r="14" spans="1:16" x14ac:dyDescent="0.45">
      <c r="B14" s="2"/>
      <c r="C14" s="14" t="s">
        <v>10</v>
      </c>
      <c r="D14" s="14"/>
      <c r="E14" s="16"/>
      <c r="F14" s="10"/>
    </row>
    <row r="15" spans="1:16" x14ac:dyDescent="0.45">
      <c r="B15" s="2"/>
      <c r="C15" s="14" t="s">
        <v>12</v>
      </c>
      <c r="D15" s="14"/>
      <c r="E15" s="16"/>
      <c r="F15" s="10"/>
    </row>
    <row r="16" spans="1:16" x14ac:dyDescent="0.45">
      <c r="B16" s="2"/>
      <c r="C16" s="14" t="s">
        <v>15</v>
      </c>
      <c r="D16" s="14"/>
      <c r="E16" s="16"/>
      <c r="F16" s="10"/>
    </row>
    <row r="17" spans="2:6" x14ac:dyDescent="0.45">
      <c r="B17" s="2"/>
      <c r="C17" s="14" t="s">
        <v>13</v>
      </c>
      <c r="D17" s="14"/>
      <c r="E17" s="16"/>
      <c r="F17" s="10"/>
    </row>
    <row r="18" spans="2:6" x14ac:dyDescent="0.45">
      <c r="B18" s="2"/>
      <c r="C18" s="14" t="s">
        <v>14</v>
      </c>
      <c r="D18" s="14"/>
      <c r="E18" s="16"/>
      <c r="F18" s="10"/>
    </row>
    <row r="19" spans="2:6" x14ac:dyDescent="0.45">
      <c r="B19" s="2"/>
      <c r="C19" s="10"/>
      <c r="D19" s="10"/>
      <c r="E19" s="10"/>
      <c r="F19" s="10"/>
    </row>
  </sheetData>
  <pageMargins left="0.7" right="0.7" top="0.75" bottom="0.75" header="0.3" footer="0.3"/>
  <pageSetup paperSize="9" orientation="portrait" r:id="rId1"/>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4ec5a1a-e29c-407e-9660-cb4eaaff03a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6A9E49C56486844AEA3493470A3BA7F" ma:contentTypeVersion="18" ma:contentTypeDescription="Create a new document." ma:contentTypeScope="" ma:versionID="e113dd8c6d9d6d8e50c33cd355eeb814">
  <xsd:schema xmlns:xsd="http://www.w3.org/2001/XMLSchema" xmlns:xs="http://www.w3.org/2001/XMLSchema" xmlns:p="http://schemas.microsoft.com/office/2006/metadata/properties" xmlns:ns3="04ec5a1a-e29c-407e-9660-cb4eaaff03ab" xmlns:ns4="98587d8b-32ff-4694-8d3a-6f66eb643b0d" targetNamespace="http://schemas.microsoft.com/office/2006/metadata/properties" ma:root="true" ma:fieldsID="654ccc4b072c8ba42f6f064ab7b3a12b" ns3:_="" ns4:_="">
    <xsd:import namespace="04ec5a1a-e29c-407e-9660-cb4eaaff03ab"/>
    <xsd:import namespace="98587d8b-32ff-4694-8d3a-6f66eb643b0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AutoKeyPoints" minOccurs="0"/>
                <xsd:element ref="ns3:MediaServiceKeyPoints" minOccurs="0"/>
                <xsd:element ref="ns3:MediaLengthInSeconds" minOccurs="0"/>
                <xsd:element ref="ns3:MediaServiceSearchProperties" minOccurs="0"/>
                <xsd:element ref="ns3:MediaServiceLocation"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ec5a1a-e29c-407e-9660-cb4eaaff0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87d8b-32ff-4694-8d3a-6f66eb643b0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8C00B319-165B-4AE8-A6AE-EED707A1FDFE}">
  <ds:schemaRef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http://purl.org/dc/terms/"/>
    <ds:schemaRef ds:uri="98587d8b-32ff-4694-8d3a-6f66eb643b0d"/>
    <ds:schemaRef ds:uri="04ec5a1a-e29c-407e-9660-cb4eaaff03ab"/>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CC27B88E-7A46-4080-A0D8-4EF3AEA574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ec5a1a-e29c-407e-9660-cb4eaaff03ab"/>
    <ds:schemaRef ds:uri="98587d8b-32ff-4694-8d3a-6f66eb643b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F14EA0-1B09-4BA6-A1E0-FED8521C2BE1}">
  <ds:schemaRefs>
    <ds:schemaRef ds:uri="http://schemas.microsoft.com/sharepoint/v3/contenttype/forms"/>
  </ds:schemaRefs>
</ds:datastoreItem>
</file>

<file path=customXml/itemProps4.xml><?xml version="1.0" encoding="utf-8"?>
<ds:datastoreItem xmlns:ds="http://schemas.openxmlformats.org/officeDocument/2006/customXml" ds:itemID="{84B241E6-AE4C-4EA5-96CC-6E77ABF1BB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Tracker</vt:lpstr>
      <vt:lpstr>Schedule</vt:lpstr>
      <vt:lpstr>Lists</vt:lpstr>
      <vt:lpstr>SubjectList</vt:lpstr>
      <vt:lpstr>WorkTypes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Mynda Treacy</dc:creator>
  <cp:keywords/>
  <dc:description/>
  <cp:lastModifiedBy>Ryan Øystein</cp:lastModifiedBy>
  <cp:revision/>
  <dcterms:created xsi:type="dcterms:W3CDTF">2019-12-23T04:48:23Z</dcterms:created>
  <dcterms:modified xsi:type="dcterms:W3CDTF">2026-05-14T21:32:06Z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0x01010076A9E49C56486844AEA3493470A3BA7F</vt:lpwstr>
  </property>
</Properties>
</file>